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theme/theme1.xml" ContentType="application/vnd.openxmlformats-officedocument.theme+xml"/>
  <Override PartName="/xl/styles.xml" ContentType="application/vnd.openxmlformats-officedocument.spreadsheetml.styles+xml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4.xml" ContentType="application/vnd.openxmlformats-officedocument.spreadsheetml.worksheet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comments2.xml" ContentType="application/vnd.openxmlformats-officedocument.spreadsheetml.comments+xml"/>
  <Override PartName="/xl/worksheets/sheet1.xml" ContentType="application/vnd.openxmlformats-officedocument.spreadsheetml.worksheet+xml"/>
  <Override PartName="/xl/externalLinks/externalLink1.xml" ContentType="application/vnd.openxmlformats-officedocument.spreadsheetml.externalLink+xml"/>
  <Default Extension="vml" ContentType="application/vnd.openxmlformats-officedocument.vmlDrawing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7" codeName="{B7FE6334-C1A2-E50D-BD3D-5F4D41BBC2E3}"/>
  <workbookPr codeName="ThisWorkbook" defaultThemeVersion="124226"/>
  <bookViews>
    <workbookView xWindow="0" yWindow="0" windowWidth="20490" windowHeight="9045"/>
  </bookViews>
  <sheets>
    <sheet name="result" sheetId="7" r:id="rId1"/>
    <sheet name="Aurocyanure" sheetId="5" r:id="rId2"/>
    <sheet name="ARAS" sheetId="6" r:id="rId3"/>
    <sheet name="datte" sheetId="8" r:id="rId4"/>
  </sheets>
  <externalReferences>
    <externalReference r:id="rId5"/>
  </externalReferences>
  <definedNames>
    <definedName name="_xlnm._FilterDatabase" localSheetId="2" hidden="1">ARAS!$A$1:$I$383</definedName>
    <definedName name="Base_2009" localSheetId="1">Aurocyanure!$A$1:$D$373</definedName>
    <definedName name="Base_2009">#REF!</definedName>
    <definedName name="_xlnm.Database" localSheetId="1">#REF!</definedName>
    <definedName name="_xlnm.Database">#REF!</definedName>
    <definedName name="instructio" localSheetId="1">#REF!</definedName>
    <definedName name="instructio">#REF!</definedName>
    <definedName name="Métrage_métallisé_par_machine" localSheetId="1">#REF!</definedName>
    <definedName name="Métrage_métallisé_par_machine">#REF!</definedName>
    <definedName name="_xlnm.Print_Area" localSheetId="1">Aurocyanure!$A$1:$D$373</definedName>
    <definedName name="Table1" localSheetId="1">#REF!</definedName>
    <definedName name="Table1">#REF!</definedName>
  </definedNames>
  <calcPr calcId="125725"/>
</workbook>
</file>

<file path=xl/calcChain.xml><?xml version="1.0" encoding="utf-8"?>
<calcChain xmlns="http://schemas.openxmlformats.org/spreadsheetml/2006/main">
  <c r="H383" i="5"/>
  <c r="I383" s="1"/>
  <c r="J383" s="1"/>
  <c r="H382"/>
  <c r="I382" s="1"/>
  <c r="J382" s="1"/>
  <c r="B382"/>
  <c r="H381"/>
  <c r="I381" s="1"/>
  <c r="J381" s="1"/>
  <c r="H380"/>
  <c r="I380" s="1"/>
  <c r="J380" s="1"/>
  <c r="B380"/>
  <c r="H379"/>
  <c r="I379" s="1"/>
  <c r="J379" s="1"/>
  <c r="H378"/>
  <c r="I378" s="1"/>
  <c r="J378" s="1"/>
  <c r="H377"/>
  <c r="I377" s="1"/>
  <c r="J377" s="1"/>
  <c r="H376"/>
  <c r="I376" s="1"/>
  <c r="J376" s="1"/>
  <c r="J375"/>
  <c r="H375"/>
  <c r="I375" s="1"/>
  <c r="H374"/>
  <c r="I374" s="1"/>
  <c r="J374" s="1"/>
  <c r="H373"/>
  <c r="I373" s="1"/>
  <c r="J373" s="1"/>
  <c r="H372"/>
  <c r="I372" s="1"/>
  <c r="J372" s="1"/>
  <c r="B372"/>
  <c r="H371"/>
  <c r="I371" s="1"/>
  <c r="J371" s="1"/>
  <c r="B371"/>
  <c r="H370"/>
  <c r="I370" s="1"/>
  <c r="J370" s="1"/>
  <c r="B370"/>
  <c r="H369"/>
  <c r="I369" s="1"/>
  <c r="J369" s="1"/>
  <c r="B369"/>
  <c r="H368"/>
  <c r="I368" s="1"/>
  <c r="J368" s="1"/>
  <c r="B368"/>
  <c r="H367"/>
  <c r="I367" s="1"/>
  <c r="J367" s="1"/>
  <c r="H366"/>
  <c r="I366" s="1"/>
  <c r="J366" s="1"/>
  <c r="B366"/>
  <c r="H365"/>
  <c r="I365" s="1"/>
  <c r="J365" s="1"/>
  <c r="B365"/>
  <c r="H364"/>
  <c r="I364" s="1"/>
  <c r="J364" s="1"/>
  <c r="B364"/>
  <c r="H363"/>
  <c r="I363" s="1"/>
  <c r="J363" s="1"/>
  <c r="B363"/>
  <c r="H362"/>
  <c r="I362" s="1"/>
  <c r="J362" s="1"/>
  <c r="B362"/>
  <c r="H361"/>
  <c r="I361" s="1"/>
  <c r="J361" s="1"/>
  <c r="B361"/>
  <c r="H360"/>
  <c r="I360" s="1"/>
  <c r="J360" s="1"/>
  <c r="B360"/>
  <c r="H359"/>
  <c r="I359" s="1"/>
  <c r="J359" s="1"/>
  <c r="H358"/>
  <c r="I358" s="1"/>
  <c r="J358" s="1"/>
  <c r="B358"/>
  <c r="J357"/>
  <c r="H357"/>
  <c r="I357" s="1"/>
  <c r="H356"/>
  <c r="I356" s="1"/>
  <c r="J356" s="1"/>
  <c r="B356"/>
  <c r="H355"/>
  <c r="I355" s="1"/>
  <c r="J355" s="1"/>
  <c r="B355"/>
  <c r="H354"/>
  <c r="I354" s="1"/>
  <c r="J354" s="1"/>
  <c r="B354"/>
  <c r="H353"/>
  <c r="I353" s="1"/>
  <c r="J353" s="1"/>
  <c r="B353"/>
  <c r="H352"/>
  <c r="I352" s="1"/>
  <c r="J352" s="1"/>
  <c r="B352"/>
  <c r="H351"/>
  <c r="I351" s="1"/>
  <c r="J351" s="1"/>
  <c r="B351"/>
  <c r="H350"/>
  <c r="I350" s="1"/>
  <c r="J350" s="1"/>
  <c r="H349"/>
  <c r="I349" s="1"/>
  <c r="J349" s="1"/>
  <c r="B349"/>
  <c r="H348"/>
  <c r="I348" s="1"/>
  <c r="J348" s="1"/>
  <c r="B348"/>
  <c r="H347"/>
  <c r="I347" s="1"/>
  <c r="J347" s="1"/>
  <c r="B347"/>
  <c r="H346"/>
  <c r="I346" s="1"/>
  <c r="J346" s="1"/>
  <c r="B346"/>
  <c r="H345"/>
  <c r="I345" s="1"/>
  <c r="J345" s="1"/>
  <c r="B345"/>
  <c r="H344"/>
  <c r="I344" s="1"/>
  <c r="J344" s="1"/>
  <c r="B344"/>
  <c r="J343"/>
  <c r="H343"/>
  <c r="I343" s="1"/>
  <c r="H342"/>
  <c r="I342" s="1"/>
  <c r="J342" s="1"/>
  <c r="H341"/>
  <c r="I341" s="1"/>
  <c r="J341" s="1"/>
  <c r="B341"/>
  <c r="H340"/>
  <c r="I340" s="1"/>
  <c r="J340" s="1"/>
  <c r="B340"/>
  <c r="H339"/>
  <c r="I339" s="1"/>
  <c r="J339" s="1"/>
  <c r="B339"/>
  <c r="H338"/>
  <c r="I338" s="1"/>
  <c r="J338" s="1"/>
  <c r="B338"/>
  <c r="H337"/>
  <c r="I337" s="1"/>
  <c r="J337" s="1"/>
  <c r="B337"/>
  <c r="H336"/>
  <c r="I336" s="1"/>
  <c r="J336" s="1"/>
  <c r="B336"/>
  <c r="H335"/>
  <c r="I335" s="1"/>
  <c r="J335" s="1"/>
  <c r="B335"/>
  <c r="H334"/>
  <c r="I334" s="1"/>
  <c r="J334" s="1"/>
  <c r="B334"/>
  <c r="H333"/>
  <c r="I333" s="1"/>
  <c r="J333" s="1"/>
  <c r="B333"/>
  <c r="H332"/>
  <c r="I332" s="1"/>
  <c r="J332" s="1"/>
  <c r="H331"/>
  <c r="I331" s="1"/>
  <c r="J331" s="1"/>
  <c r="H330"/>
  <c r="I330" s="1"/>
  <c r="J330" s="1"/>
  <c r="B330"/>
  <c r="H329"/>
  <c r="I329" s="1"/>
  <c r="J329" s="1"/>
  <c r="B329"/>
  <c r="H328"/>
  <c r="I328" s="1"/>
  <c r="J328" s="1"/>
  <c r="B328"/>
  <c r="H327"/>
  <c r="I327" s="1"/>
  <c r="J327" s="1"/>
  <c r="H326"/>
  <c r="I326" s="1"/>
  <c r="J326" s="1"/>
  <c r="H325"/>
  <c r="I325" s="1"/>
  <c r="J325" s="1"/>
  <c r="B325"/>
  <c r="H324"/>
  <c r="I324" s="1"/>
  <c r="J324" s="1"/>
  <c r="H323"/>
  <c r="I323" s="1"/>
  <c r="J323" s="1"/>
  <c r="H322"/>
  <c r="I322" s="1"/>
  <c r="J322" s="1"/>
  <c r="B322"/>
  <c r="H321"/>
  <c r="I321" s="1"/>
  <c r="J321" s="1"/>
  <c r="B321"/>
  <c r="H320"/>
  <c r="I320" s="1"/>
  <c r="J320" s="1"/>
  <c r="B320"/>
  <c r="H319"/>
  <c r="I319" s="1"/>
  <c r="J319" s="1"/>
  <c r="H318"/>
  <c r="I318" s="1"/>
  <c r="J318" s="1"/>
  <c r="H317"/>
  <c r="I317" s="1"/>
  <c r="J317" s="1"/>
  <c r="J316"/>
  <c r="H316"/>
  <c r="I316" s="1"/>
  <c r="H315"/>
  <c r="I315" s="1"/>
  <c r="J315" s="1"/>
  <c r="B315"/>
  <c r="H314"/>
  <c r="I314" s="1"/>
  <c r="J314" s="1"/>
  <c r="B314"/>
  <c r="H313"/>
  <c r="I313" s="1"/>
  <c r="J313" s="1"/>
  <c r="B313"/>
  <c r="H312"/>
  <c r="I312" s="1"/>
  <c r="J312" s="1"/>
  <c r="B312"/>
  <c r="H311"/>
  <c r="I311" s="1"/>
  <c r="J311" s="1"/>
  <c r="H310"/>
  <c r="I310" s="1"/>
  <c r="J310" s="1"/>
  <c r="H309"/>
  <c r="I309" s="1"/>
  <c r="J309" s="1"/>
  <c r="H308"/>
  <c r="I308" s="1"/>
  <c r="J308" s="1"/>
  <c r="B308"/>
  <c r="H307"/>
  <c r="I307" s="1"/>
  <c r="J307" s="1"/>
  <c r="H306"/>
  <c r="I306" s="1"/>
  <c r="J306" s="1"/>
  <c r="J305"/>
  <c r="H305"/>
  <c r="I305" s="1"/>
  <c r="H304"/>
  <c r="I304" s="1"/>
  <c r="J304" s="1"/>
  <c r="H303"/>
  <c r="I303" s="1"/>
  <c r="J303" s="1"/>
  <c r="B303"/>
  <c r="H302"/>
  <c r="I302" s="1"/>
  <c r="J302" s="1"/>
  <c r="B302"/>
  <c r="H301"/>
  <c r="I301" s="1"/>
  <c r="J301" s="1"/>
  <c r="B301"/>
  <c r="H300"/>
  <c r="I300" s="1"/>
  <c r="J300" s="1"/>
  <c r="B300"/>
  <c r="H299"/>
  <c r="I299" s="1"/>
  <c r="J299" s="1"/>
  <c r="B299"/>
  <c r="H298"/>
  <c r="I298" s="1"/>
  <c r="J298" s="1"/>
  <c r="B298"/>
  <c r="H297"/>
  <c r="I297" s="1"/>
  <c r="J297" s="1"/>
  <c r="B297"/>
  <c r="H296"/>
  <c r="I296" s="1"/>
  <c r="J296" s="1"/>
  <c r="B296"/>
  <c r="H295"/>
  <c r="I295" s="1"/>
  <c r="J295" s="1"/>
  <c r="B295"/>
  <c r="H294"/>
  <c r="I294" s="1"/>
  <c r="J294" s="1"/>
  <c r="B294"/>
  <c r="H293"/>
  <c r="I293" s="1"/>
  <c r="J293" s="1"/>
  <c r="B293"/>
  <c r="H292"/>
  <c r="I292" s="1"/>
  <c r="J292" s="1"/>
  <c r="B292"/>
  <c r="H291"/>
  <c r="I291" s="1"/>
  <c r="J291" s="1"/>
  <c r="B291"/>
  <c r="H290"/>
  <c r="I290" s="1"/>
  <c r="J290" s="1"/>
  <c r="B290"/>
  <c r="J289"/>
  <c r="H289"/>
  <c r="I289" s="1"/>
  <c r="J288"/>
  <c r="H288"/>
  <c r="I288" s="1"/>
  <c r="H287"/>
  <c r="I287" s="1"/>
  <c r="J287" s="1"/>
  <c r="B287"/>
  <c r="J286"/>
  <c r="H286"/>
  <c r="I286" s="1"/>
  <c r="H285"/>
  <c r="I285" s="1"/>
  <c r="J285" s="1"/>
  <c r="B285"/>
  <c r="H284"/>
  <c r="I284" s="1"/>
  <c r="J284" s="1"/>
  <c r="H283"/>
  <c r="I283" s="1"/>
  <c r="J283" s="1"/>
  <c r="B283"/>
  <c r="H282"/>
  <c r="I282" s="1"/>
  <c r="J282" s="1"/>
  <c r="H281"/>
  <c r="I281" s="1"/>
  <c r="J281" s="1"/>
  <c r="B281"/>
  <c r="H280"/>
  <c r="I280" s="1"/>
  <c r="J280" s="1"/>
  <c r="B280"/>
  <c r="H279"/>
  <c r="I279" s="1"/>
  <c r="J279" s="1"/>
  <c r="B279"/>
  <c r="H278"/>
  <c r="I278" s="1"/>
  <c r="J278" s="1"/>
  <c r="B278"/>
  <c r="H277"/>
  <c r="I277" s="1"/>
  <c r="J277" s="1"/>
  <c r="B277"/>
  <c r="H276"/>
  <c r="I276" s="1"/>
  <c r="J276" s="1"/>
  <c r="B276"/>
  <c r="H275"/>
  <c r="I275" s="1"/>
  <c r="J275" s="1"/>
  <c r="B275"/>
  <c r="H274"/>
  <c r="I274" s="1"/>
  <c r="J274" s="1"/>
  <c r="H273"/>
  <c r="I273" s="1"/>
  <c r="J273" s="1"/>
  <c r="B273"/>
  <c r="H272"/>
  <c r="I272" s="1"/>
  <c r="J272" s="1"/>
  <c r="H271"/>
  <c r="I271" s="1"/>
  <c r="J271" s="1"/>
  <c r="J270"/>
  <c r="H270"/>
  <c r="I270" s="1"/>
  <c r="H269"/>
  <c r="I269" s="1"/>
  <c r="J269" s="1"/>
  <c r="B269"/>
  <c r="H268"/>
  <c r="I268" s="1"/>
  <c r="J268" s="1"/>
  <c r="B268"/>
  <c r="H267"/>
  <c r="I267" s="1"/>
  <c r="J267" s="1"/>
  <c r="B267"/>
  <c r="H266"/>
  <c r="I266" s="1"/>
  <c r="J266" s="1"/>
  <c r="H265"/>
  <c r="I265" s="1"/>
  <c r="J265" s="1"/>
  <c r="B265"/>
  <c r="J264"/>
  <c r="H264"/>
  <c r="I264" s="1"/>
  <c r="H263"/>
  <c r="I263" s="1"/>
  <c r="J263" s="1"/>
  <c r="B263"/>
  <c r="H262"/>
  <c r="I262" s="1"/>
  <c r="J262" s="1"/>
  <c r="H261"/>
  <c r="I261" s="1"/>
  <c r="J261" s="1"/>
  <c r="B261"/>
  <c r="H260"/>
  <c r="I260" s="1"/>
  <c r="J260" s="1"/>
  <c r="B260"/>
  <c r="H259"/>
  <c r="I259" s="1"/>
  <c r="J259" s="1"/>
  <c r="B259"/>
  <c r="J258"/>
  <c r="H258"/>
  <c r="I258" s="1"/>
  <c r="H257"/>
  <c r="I257" s="1"/>
  <c r="J257" s="1"/>
  <c r="H256"/>
  <c r="I256" s="1"/>
  <c r="J256" s="1"/>
  <c r="H255"/>
  <c r="I255" s="1"/>
  <c r="J255" s="1"/>
  <c r="B255"/>
  <c r="H254"/>
  <c r="I254" s="1"/>
  <c r="J254" s="1"/>
  <c r="B254"/>
  <c r="H253"/>
  <c r="I253" s="1"/>
  <c r="J253" s="1"/>
  <c r="B253"/>
  <c r="H252"/>
  <c r="I252" s="1"/>
  <c r="J252" s="1"/>
  <c r="B252"/>
  <c r="H251"/>
  <c r="I251" s="1"/>
  <c r="J251" s="1"/>
  <c r="B251"/>
  <c r="H250"/>
  <c r="I250" s="1"/>
  <c r="J250" s="1"/>
  <c r="B250"/>
  <c r="H249"/>
  <c r="I249" s="1"/>
  <c r="J249" s="1"/>
  <c r="B249"/>
  <c r="H248"/>
  <c r="I248" s="1"/>
  <c r="J248" s="1"/>
  <c r="B248"/>
  <c r="H247"/>
  <c r="I247" s="1"/>
  <c r="J247" s="1"/>
  <c r="B247"/>
  <c r="H246"/>
  <c r="I246" s="1"/>
  <c r="J246" s="1"/>
  <c r="H245"/>
  <c r="I245" s="1"/>
  <c r="J245" s="1"/>
  <c r="B245"/>
  <c r="J244"/>
  <c r="H244"/>
  <c r="I244" s="1"/>
  <c r="H243"/>
  <c r="I243" s="1"/>
  <c r="J243" s="1"/>
  <c r="H242"/>
  <c r="I242" s="1"/>
  <c r="J242" s="1"/>
  <c r="H241"/>
  <c r="I241" s="1"/>
  <c r="J241" s="1"/>
  <c r="B241"/>
  <c r="H240"/>
  <c r="I240" s="1"/>
  <c r="J240" s="1"/>
  <c r="H239"/>
  <c r="I239" s="1"/>
  <c r="J239" s="1"/>
  <c r="B239"/>
  <c r="J238"/>
  <c r="H238"/>
  <c r="I238" s="1"/>
  <c r="H237"/>
  <c r="I237" s="1"/>
  <c r="J237" s="1"/>
  <c r="H236"/>
  <c r="I236" s="1"/>
  <c r="J236" s="1"/>
  <c r="H235"/>
  <c r="I235" s="1"/>
  <c r="J235" s="1"/>
  <c r="B235"/>
  <c r="H234"/>
  <c r="I234" s="1"/>
  <c r="J234" s="1"/>
  <c r="B234"/>
  <c r="H233"/>
  <c r="I233" s="1"/>
  <c r="J233" s="1"/>
  <c r="B233"/>
  <c r="H232"/>
  <c r="I232" s="1"/>
  <c r="J232" s="1"/>
  <c r="B232"/>
  <c r="H231"/>
  <c r="I231" s="1"/>
  <c r="J231" s="1"/>
  <c r="B231"/>
  <c r="H230"/>
  <c r="I230" s="1"/>
  <c r="J230" s="1"/>
  <c r="B230"/>
  <c r="H229"/>
  <c r="I229" s="1"/>
  <c r="J229" s="1"/>
  <c r="B229"/>
  <c r="H228"/>
  <c r="I228" s="1"/>
  <c r="J228" s="1"/>
  <c r="B228"/>
  <c r="H227"/>
  <c r="I227" s="1"/>
  <c r="J227" s="1"/>
  <c r="B227"/>
  <c r="H226"/>
  <c r="I226" s="1"/>
  <c r="J226" s="1"/>
  <c r="B226"/>
  <c r="H225"/>
  <c r="I225" s="1"/>
  <c r="J225" s="1"/>
  <c r="H224"/>
  <c r="I224" s="1"/>
  <c r="J224" s="1"/>
  <c r="B224"/>
  <c r="H223"/>
  <c r="I223" s="1"/>
  <c r="J223" s="1"/>
  <c r="B223"/>
  <c r="H222"/>
  <c r="I222" s="1"/>
  <c r="J222" s="1"/>
  <c r="B222"/>
  <c r="H221"/>
  <c r="I221" s="1"/>
  <c r="J221" s="1"/>
  <c r="B221"/>
  <c r="H220"/>
  <c r="I220" s="1"/>
  <c r="J220" s="1"/>
  <c r="B220"/>
  <c r="J219"/>
  <c r="H219"/>
  <c r="I219" s="1"/>
  <c r="H218"/>
  <c r="I218" s="1"/>
  <c r="J218" s="1"/>
  <c r="B218"/>
  <c r="H217"/>
  <c r="I217" s="1"/>
  <c r="J217" s="1"/>
  <c r="H216"/>
  <c r="I216" s="1"/>
  <c r="J216" s="1"/>
  <c r="B216"/>
  <c r="H215"/>
  <c r="I215" s="1"/>
  <c r="J215" s="1"/>
  <c r="B215"/>
  <c r="J214"/>
  <c r="H214"/>
  <c r="I214" s="1"/>
  <c r="J213"/>
  <c r="H213"/>
  <c r="I213" s="1"/>
  <c r="H212"/>
  <c r="I212" s="1"/>
  <c r="J212" s="1"/>
  <c r="H211"/>
  <c r="I211" s="1"/>
  <c r="J211" s="1"/>
  <c r="B211"/>
  <c r="H210"/>
  <c r="I210" s="1"/>
  <c r="J210" s="1"/>
  <c r="H209"/>
  <c r="I209" s="1"/>
  <c r="J209" s="1"/>
  <c r="H208"/>
  <c r="I208" s="1"/>
  <c r="J208" s="1"/>
  <c r="H207"/>
  <c r="I207" s="1"/>
  <c r="J207" s="1"/>
  <c r="H206"/>
  <c r="I206" s="1"/>
  <c r="J206" s="1"/>
  <c r="B206"/>
  <c r="H205"/>
  <c r="I205" s="1"/>
  <c r="J205" s="1"/>
  <c r="B205"/>
  <c r="H204"/>
  <c r="I204" s="1"/>
  <c r="J204" s="1"/>
  <c r="H203"/>
  <c r="I203" s="1"/>
  <c r="J203" s="1"/>
  <c r="H202"/>
  <c r="I202" s="1"/>
  <c r="J202" s="1"/>
  <c r="B202"/>
  <c r="J201"/>
  <c r="H201"/>
  <c r="I201" s="1"/>
  <c r="H200"/>
  <c r="I200" s="1"/>
  <c r="J200" s="1"/>
  <c r="H199"/>
  <c r="I199" s="1"/>
  <c r="J199" s="1"/>
  <c r="B199"/>
  <c r="H198"/>
  <c r="I198" s="1"/>
  <c r="J198" s="1"/>
  <c r="B198"/>
  <c r="H197"/>
  <c r="I197" s="1"/>
  <c r="J197" s="1"/>
  <c r="H196"/>
  <c r="I196" s="1"/>
  <c r="J196" s="1"/>
  <c r="B196"/>
  <c r="H195"/>
  <c r="I195" s="1"/>
  <c r="J195" s="1"/>
  <c r="B195"/>
  <c r="J194"/>
  <c r="H194"/>
  <c r="I194" s="1"/>
  <c r="J193"/>
  <c r="H193"/>
  <c r="I193" s="1"/>
  <c r="H192"/>
  <c r="I192" s="1"/>
  <c r="J192" s="1"/>
  <c r="B192"/>
  <c r="H191"/>
  <c r="I191" s="1"/>
  <c r="J191" s="1"/>
  <c r="B191"/>
  <c r="H190"/>
  <c r="I190" s="1"/>
  <c r="J190" s="1"/>
  <c r="H189"/>
  <c r="I189" s="1"/>
  <c r="J189" s="1"/>
  <c r="B189"/>
  <c r="H188"/>
  <c r="I188" s="1"/>
  <c r="J188" s="1"/>
  <c r="H187"/>
  <c r="I187" s="1"/>
  <c r="J187" s="1"/>
  <c r="B187"/>
  <c r="H186"/>
  <c r="I186" s="1"/>
  <c r="J186" s="1"/>
  <c r="B186"/>
  <c r="H185"/>
  <c r="I185" s="1"/>
  <c r="J185" s="1"/>
  <c r="B185"/>
  <c r="H184"/>
  <c r="I184" s="1"/>
  <c r="J184" s="1"/>
  <c r="H183"/>
  <c r="I183" s="1"/>
  <c r="J183" s="1"/>
  <c r="B183"/>
  <c r="H182"/>
  <c r="I182" s="1"/>
  <c r="J182" s="1"/>
  <c r="B182"/>
  <c r="H181"/>
  <c r="I181" s="1"/>
  <c r="J181" s="1"/>
  <c r="B181"/>
  <c r="J180"/>
  <c r="H180"/>
  <c r="I180" s="1"/>
  <c r="H179"/>
  <c r="I179" s="1"/>
  <c r="J179" s="1"/>
  <c r="H178"/>
  <c r="I178" s="1"/>
  <c r="J178" s="1"/>
  <c r="H177"/>
  <c r="I177" s="1"/>
  <c r="J177" s="1"/>
  <c r="H176"/>
  <c r="I176" s="1"/>
  <c r="J176" s="1"/>
  <c r="H175"/>
  <c r="I175" s="1"/>
  <c r="J175" s="1"/>
  <c r="H174"/>
  <c r="I174" s="1"/>
  <c r="J174" s="1"/>
  <c r="H173"/>
  <c r="I173" s="1"/>
  <c r="J173" s="1"/>
  <c r="H172"/>
  <c r="I172" s="1"/>
  <c r="J172" s="1"/>
  <c r="H171"/>
  <c r="I171" s="1"/>
  <c r="J171" s="1"/>
  <c r="B171"/>
  <c r="H170"/>
  <c r="I170" s="1"/>
  <c r="J170" s="1"/>
  <c r="B170"/>
  <c r="H169"/>
  <c r="I169" s="1"/>
  <c r="J169" s="1"/>
  <c r="B169"/>
  <c r="H168"/>
  <c r="I168" s="1"/>
  <c r="J168" s="1"/>
  <c r="H167"/>
  <c r="I167" s="1"/>
  <c r="J167" s="1"/>
  <c r="H166"/>
  <c r="I166" s="1"/>
  <c r="J166" s="1"/>
  <c r="B166"/>
  <c r="H165"/>
  <c r="I165" s="1"/>
  <c r="J165" s="1"/>
  <c r="B165"/>
  <c r="H164"/>
  <c r="I164" s="1"/>
  <c r="J164" s="1"/>
  <c r="B164"/>
  <c r="H163"/>
  <c r="I163" s="1"/>
  <c r="J163" s="1"/>
  <c r="B163"/>
  <c r="H162"/>
  <c r="I162" s="1"/>
  <c r="J162" s="1"/>
  <c r="B162"/>
  <c r="H161"/>
  <c r="I161" s="1"/>
  <c r="J161" s="1"/>
  <c r="B161"/>
  <c r="J160"/>
  <c r="H160"/>
  <c r="I160" s="1"/>
  <c r="H159"/>
  <c r="I159" s="1"/>
  <c r="J159" s="1"/>
  <c r="B159"/>
  <c r="J158"/>
  <c r="H158"/>
  <c r="I158" s="1"/>
  <c r="H157"/>
  <c r="I157" s="1"/>
  <c r="J157" s="1"/>
  <c r="B157"/>
  <c r="H156"/>
  <c r="I156" s="1"/>
  <c r="J156" s="1"/>
  <c r="H155"/>
  <c r="I155" s="1"/>
  <c r="J155" s="1"/>
  <c r="B155"/>
  <c r="H154"/>
  <c r="I154" s="1"/>
  <c r="J154" s="1"/>
  <c r="B154"/>
  <c r="H153"/>
  <c r="I153" s="1"/>
  <c r="J153" s="1"/>
  <c r="B153"/>
  <c r="H152"/>
  <c r="I152" s="1"/>
  <c r="J152" s="1"/>
  <c r="H151"/>
  <c r="I151" s="1"/>
  <c r="J151" s="1"/>
  <c r="B151"/>
  <c r="J150"/>
  <c r="H150"/>
  <c r="I150" s="1"/>
  <c r="H149"/>
  <c r="I149" s="1"/>
  <c r="J149" s="1"/>
  <c r="B149"/>
  <c r="H148"/>
  <c r="I148" s="1"/>
  <c r="J148" s="1"/>
  <c r="B148"/>
  <c r="H147"/>
  <c r="I147" s="1"/>
  <c r="J147" s="1"/>
  <c r="B147"/>
  <c r="J146"/>
  <c r="H146"/>
  <c r="I146" s="1"/>
  <c r="J145"/>
  <c r="H145"/>
  <c r="I145" s="1"/>
  <c r="H144"/>
  <c r="I144" s="1"/>
  <c r="J144" s="1"/>
  <c r="B144"/>
  <c r="H143"/>
  <c r="I143" s="1"/>
  <c r="J143" s="1"/>
  <c r="B143"/>
  <c r="H142"/>
  <c r="I142" s="1"/>
  <c r="J142" s="1"/>
  <c r="H141"/>
  <c r="I141" s="1"/>
  <c r="J141" s="1"/>
  <c r="B141"/>
  <c r="J140"/>
  <c r="H140"/>
  <c r="I140" s="1"/>
  <c r="H139"/>
  <c r="I139" s="1"/>
  <c r="J139" s="1"/>
  <c r="H138"/>
  <c r="I138" s="1"/>
  <c r="J138" s="1"/>
  <c r="H137"/>
  <c r="I137" s="1"/>
  <c r="J137" s="1"/>
  <c r="H136"/>
  <c r="I136" s="1"/>
  <c r="J136" s="1"/>
  <c r="H135"/>
  <c r="I135" s="1"/>
  <c r="J135" s="1"/>
  <c r="B135"/>
  <c r="H134"/>
  <c r="I134" s="1"/>
  <c r="J134" s="1"/>
  <c r="H133"/>
  <c r="I133" s="1"/>
  <c r="J133" s="1"/>
  <c r="H132"/>
  <c r="I132" s="1"/>
  <c r="J132" s="1"/>
  <c r="H131"/>
  <c r="I131" s="1"/>
  <c r="J131" s="1"/>
  <c r="H130"/>
  <c r="I130" s="1"/>
  <c r="J130" s="1"/>
  <c r="H129"/>
  <c r="I129" s="1"/>
  <c r="J129" s="1"/>
  <c r="H128"/>
  <c r="I128" s="1"/>
  <c r="J128" s="1"/>
  <c r="H127"/>
  <c r="I127" s="1"/>
  <c r="J127" s="1"/>
  <c r="B127"/>
  <c r="H126"/>
  <c r="I126" s="1"/>
  <c r="J126" s="1"/>
  <c r="B126"/>
  <c r="H125"/>
  <c r="I125" s="1"/>
  <c r="J125" s="1"/>
  <c r="B125"/>
  <c r="H124"/>
  <c r="I124" s="1"/>
  <c r="J124" s="1"/>
  <c r="B124"/>
  <c r="H123"/>
  <c r="I123" s="1"/>
  <c r="J123" s="1"/>
  <c r="B123"/>
  <c r="H122"/>
  <c r="I122" s="1"/>
  <c r="J122" s="1"/>
  <c r="H121"/>
  <c r="I121" s="1"/>
  <c r="J121" s="1"/>
  <c r="H120"/>
  <c r="I120" s="1"/>
  <c r="J120" s="1"/>
  <c r="H119"/>
  <c r="I119" s="1"/>
  <c r="J119" s="1"/>
  <c r="B119"/>
  <c r="H118"/>
  <c r="I118" s="1"/>
  <c r="J118" s="1"/>
  <c r="B118"/>
  <c r="H117"/>
  <c r="I117" s="1"/>
  <c r="J117" s="1"/>
  <c r="B117"/>
  <c r="H116"/>
  <c r="I116" s="1"/>
  <c r="J116" s="1"/>
  <c r="B116"/>
  <c r="H115"/>
  <c r="I115" s="1"/>
  <c r="J115" s="1"/>
  <c r="B115"/>
  <c r="H114"/>
  <c r="I114" s="1"/>
  <c r="J114" s="1"/>
  <c r="B114"/>
  <c r="H113"/>
  <c r="I113" s="1"/>
  <c r="J113" s="1"/>
  <c r="B113"/>
  <c r="H112"/>
  <c r="I112" s="1"/>
  <c r="J112" s="1"/>
  <c r="B112"/>
  <c r="H111"/>
  <c r="I111" s="1"/>
  <c r="J111" s="1"/>
  <c r="B111"/>
  <c r="H110"/>
  <c r="I110" s="1"/>
  <c r="J110" s="1"/>
  <c r="B110"/>
  <c r="J109"/>
  <c r="H109"/>
  <c r="I109" s="1"/>
  <c r="J108"/>
  <c r="H108"/>
  <c r="I108" s="1"/>
  <c r="J107"/>
  <c r="H107"/>
  <c r="I107" s="1"/>
  <c r="J106"/>
  <c r="H106"/>
  <c r="I106" s="1"/>
  <c r="J105"/>
  <c r="H105"/>
  <c r="I105" s="1"/>
  <c r="H104"/>
  <c r="I104" s="1"/>
  <c r="J104" s="1"/>
  <c r="B104"/>
  <c r="H103"/>
  <c r="I103" s="1"/>
  <c r="J103" s="1"/>
  <c r="B103"/>
  <c r="H102"/>
  <c r="I102" s="1"/>
  <c r="J102" s="1"/>
  <c r="H101"/>
  <c r="I101" s="1"/>
  <c r="J101" s="1"/>
  <c r="B101"/>
  <c r="H100"/>
  <c r="I100" s="1"/>
  <c r="J100" s="1"/>
  <c r="H99"/>
  <c r="I99" s="1"/>
  <c r="J99" s="1"/>
  <c r="B99"/>
  <c r="H98"/>
  <c r="I98" s="1"/>
  <c r="J98" s="1"/>
  <c r="B98"/>
  <c r="H97"/>
  <c r="I97" s="1"/>
  <c r="J97" s="1"/>
  <c r="H96"/>
  <c r="I96" s="1"/>
  <c r="J96" s="1"/>
  <c r="B96"/>
  <c r="H95"/>
  <c r="I95" s="1"/>
  <c r="J95" s="1"/>
  <c r="B95"/>
  <c r="H94"/>
  <c r="I94" s="1"/>
  <c r="J94" s="1"/>
  <c r="J93"/>
  <c r="H93"/>
  <c r="I93" s="1"/>
  <c r="J92"/>
  <c r="H92"/>
  <c r="I92" s="1"/>
  <c r="H91"/>
  <c r="I91" s="1"/>
  <c r="J91" s="1"/>
  <c r="B91"/>
  <c r="H90"/>
  <c r="I90" s="1"/>
  <c r="J90" s="1"/>
  <c r="B90"/>
  <c r="J89"/>
  <c r="H89"/>
  <c r="I89" s="1"/>
  <c r="H88"/>
  <c r="I88" s="1"/>
  <c r="J88" s="1"/>
  <c r="B88"/>
  <c r="H87"/>
  <c r="I87" s="1"/>
  <c r="J87" s="1"/>
  <c r="B87"/>
  <c r="J86"/>
  <c r="H86"/>
  <c r="I86" s="1"/>
  <c r="H85"/>
  <c r="I85" s="1"/>
  <c r="J85" s="1"/>
  <c r="H84"/>
  <c r="I84" s="1"/>
  <c r="J84" s="1"/>
  <c r="H83"/>
  <c r="I83" s="1"/>
  <c r="J83" s="1"/>
  <c r="B83"/>
  <c r="H82"/>
  <c r="I82" s="1"/>
  <c r="J82" s="1"/>
  <c r="B82"/>
  <c r="H81"/>
  <c r="I81" s="1"/>
  <c r="J81" s="1"/>
  <c r="H80"/>
  <c r="I80" s="1"/>
  <c r="J80" s="1"/>
  <c r="B80"/>
  <c r="H79"/>
  <c r="I79" s="1"/>
  <c r="J79" s="1"/>
  <c r="B79"/>
  <c r="H78"/>
  <c r="I78" s="1"/>
  <c r="J78" s="1"/>
  <c r="B78"/>
  <c r="H77"/>
  <c r="I77" s="1"/>
  <c r="J77" s="1"/>
  <c r="H76"/>
  <c r="I76" s="1"/>
  <c r="J76" s="1"/>
  <c r="H75"/>
  <c r="I75" s="1"/>
  <c r="J75" s="1"/>
  <c r="H74"/>
  <c r="I74" s="1"/>
  <c r="J74" s="1"/>
  <c r="B74"/>
  <c r="H73"/>
  <c r="I73" s="1"/>
  <c r="J73" s="1"/>
  <c r="H72"/>
  <c r="I72" s="1"/>
  <c r="J72" s="1"/>
  <c r="H71"/>
  <c r="I71" s="1"/>
  <c r="J71" s="1"/>
  <c r="B71"/>
  <c r="H70"/>
  <c r="I70" s="1"/>
  <c r="J70" s="1"/>
  <c r="B70"/>
  <c r="H69"/>
  <c r="I69" s="1"/>
  <c r="J69" s="1"/>
  <c r="H68"/>
  <c r="I68" s="1"/>
  <c r="J68" s="1"/>
  <c r="B68"/>
  <c r="H67"/>
  <c r="I67" s="1"/>
  <c r="J67" s="1"/>
  <c r="B67"/>
  <c r="H66"/>
  <c r="I66" s="1"/>
  <c r="J66" s="1"/>
  <c r="H65"/>
  <c r="I65" s="1"/>
  <c r="J65" s="1"/>
  <c r="H64"/>
  <c r="I64" s="1"/>
  <c r="J64" s="1"/>
  <c r="H63"/>
  <c r="I63" s="1"/>
  <c r="J63" s="1"/>
  <c r="B63"/>
  <c r="H62"/>
  <c r="I62" s="1"/>
  <c r="J62" s="1"/>
  <c r="B62"/>
  <c r="H61"/>
  <c r="I61" s="1"/>
  <c r="J61" s="1"/>
  <c r="B61"/>
  <c r="H60"/>
  <c r="I60" s="1"/>
  <c r="J60" s="1"/>
  <c r="B60"/>
  <c r="H59"/>
  <c r="I59" s="1"/>
  <c r="J59" s="1"/>
  <c r="B59"/>
  <c r="H58"/>
  <c r="I58" s="1"/>
  <c r="J58" s="1"/>
  <c r="B58"/>
  <c r="H57"/>
  <c r="I57" s="1"/>
  <c r="J57" s="1"/>
  <c r="B57"/>
  <c r="H56"/>
  <c r="I56" s="1"/>
  <c r="J56" s="1"/>
  <c r="H55"/>
  <c r="I55" s="1"/>
  <c r="J55" s="1"/>
  <c r="B55"/>
  <c r="H54"/>
  <c r="I54" s="1"/>
  <c r="J54" s="1"/>
  <c r="H53"/>
  <c r="I53" s="1"/>
  <c r="J53" s="1"/>
  <c r="H52"/>
  <c r="I52" s="1"/>
  <c r="J52" s="1"/>
  <c r="H51"/>
  <c r="I51" s="1"/>
  <c r="J51" s="1"/>
  <c r="B51"/>
  <c r="H50"/>
  <c r="I50" s="1"/>
  <c r="J50" s="1"/>
  <c r="B50"/>
  <c r="H49"/>
  <c r="I49" s="1"/>
  <c r="J49" s="1"/>
  <c r="B49"/>
  <c r="H48"/>
  <c r="I48" s="1"/>
  <c r="J48" s="1"/>
  <c r="B48"/>
  <c r="H47"/>
  <c r="I47" s="1"/>
  <c r="J47" s="1"/>
  <c r="H46"/>
  <c r="I46" s="1"/>
  <c r="J46" s="1"/>
  <c r="H45"/>
  <c r="I45" s="1"/>
  <c r="J45" s="1"/>
  <c r="B45"/>
  <c r="H44"/>
  <c r="I44" s="1"/>
  <c r="J44" s="1"/>
  <c r="B44"/>
  <c r="H43"/>
  <c r="I43" s="1"/>
  <c r="J43" s="1"/>
  <c r="B43"/>
  <c r="H42"/>
  <c r="I42" s="1"/>
  <c r="J42" s="1"/>
  <c r="B42"/>
  <c r="H41"/>
  <c r="I41" s="1"/>
  <c r="J41" s="1"/>
  <c r="B41"/>
  <c r="H40"/>
  <c r="I40" s="1"/>
  <c r="J40" s="1"/>
  <c r="B40"/>
  <c r="J39"/>
  <c r="H39"/>
  <c r="I39" s="1"/>
  <c r="H38"/>
  <c r="I38" s="1"/>
  <c r="J38" s="1"/>
  <c r="H37"/>
  <c r="I37" s="1"/>
  <c r="J37" s="1"/>
  <c r="H36"/>
  <c r="I36" s="1"/>
  <c r="J36" s="1"/>
  <c r="B36"/>
  <c r="H35"/>
  <c r="I35" s="1"/>
  <c r="J35" s="1"/>
  <c r="B35"/>
  <c r="H34"/>
  <c r="I34" s="1"/>
  <c r="J34" s="1"/>
  <c r="B34"/>
  <c r="H33"/>
  <c r="I33" s="1"/>
  <c r="J33" s="1"/>
  <c r="H32"/>
  <c r="I32" s="1"/>
  <c r="J32" s="1"/>
  <c r="H31"/>
  <c r="I31" s="1"/>
  <c r="J31" s="1"/>
  <c r="B31"/>
  <c r="H30"/>
  <c r="I30" s="1"/>
  <c r="J30" s="1"/>
  <c r="B30"/>
  <c r="H29"/>
  <c r="I29" s="1"/>
  <c r="J29" s="1"/>
  <c r="H28"/>
  <c r="I28" s="1"/>
  <c r="J28" s="1"/>
  <c r="H27"/>
  <c r="I27" s="1"/>
  <c r="J27" s="1"/>
  <c r="B27"/>
  <c r="H26"/>
  <c r="I26" s="1"/>
  <c r="J26" s="1"/>
  <c r="B26"/>
  <c r="H25"/>
  <c r="I25" s="1"/>
  <c r="J25" s="1"/>
  <c r="H24"/>
  <c r="I24" s="1"/>
  <c r="J24" s="1"/>
  <c r="H23"/>
  <c r="I23" s="1"/>
  <c r="J23" s="1"/>
  <c r="H22"/>
  <c r="I22" s="1"/>
  <c r="J22" s="1"/>
  <c r="H21"/>
  <c r="I21" s="1"/>
  <c r="J21" s="1"/>
  <c r="B21"/>
  <c r="H20"/>
  <c r="I20" s="1"/>
  <c r="J20" s="1"/>
  <c r="J19"/>
  <c r="H19"/>
  <c r="I19" s="1"/>
  <c r="J18"/>
  <c r="H18"/>
  <c r="I18" s="1"/>
  <c r="J17"/>
  <c r="H17"/>
  <c r="I17" s="1"/>
  <c r="J16"/>
  <c r="H16"/>
  <c r="I16" s="1"/>
  <c r="H15"/>
  <c r="I15" s="1"/>
  <c r="J15" s="1"/>
  <c r="H14"/>
  <c r="I14" s="1"/>
  <c r="J14" s="1"/>
  <c r="H13"/>
  <c r="I13" s="1"/>
  <c r="J13" s="1"/>
  <c r="H12"/>
  <c r="I12" s="1"/>
  <c r="J12" s="1"/>
  <c r="H11"/>
  <c r="I11" s="1"/>
  <c r="J11" s="1"/>
  <c r="H10"/>
  <c r="I10" s="1"/>
  <c r="J10" s="1"/>
  <c r="H9"/>
  <c r="I9" s="1"/>
  <c r="J9" s="1"/>
  <c r="B9"/>
  <c r="H8"/>
  <c r="I8" s="1"/>
  <c r="J8" s="1"/>
  <c r="H7"/>
  <c r="I7" s="1"/>
  <c r="J7" s="1"/>
  <c r="H6"/>
  <c r="I6" s="1"/>
  <c r="J6" s="1"/>
  <c r="B6"/>
  <c r="H5"/>
  <c r="I5" s="1"/>
  <c r="J5" s="1"/>
  <c r="H4"/>
  <c r="I4" s="1"/>
  <c r="J4" s="1"/>
  <c r="B4"/>
  <c r="H3"/>
  <c r="I3" s="1"/>
  <c r="J3" s="1"/>
  <c r="H2"/>
  <c r="I2" s="1"/>
  <c r="J2" s="1"/>
  <c r="B2"/>
</calcChain>
</file>

<file path=xl/comments1.xml><?xml version="1.0" encoding="utf-8"?>
<comments xmlns="http://schemas.openxmlformats.org/spreadsheetml/2006/main">
  <authors>
    <author>zawd</author>
    <author>luiyj</author>
  </authors>
  <commentList>
    <comment ref="A22" authorId="0">
      <text>
        <r>
          <rPr>
            <b/>
            <sz val="9"/>
            <color indexed="81"/>
            <rFont val="Tahoma"/>
            <family val="2"/>
          </rPr>
          <t>zawd:</t>
        </r>
        <r>
          <rPr>
            <sz val="9"/>
            <color indexed="81"/>
            <rFont val="Tahoma"/>
            <family val="2"/>
          </rPr>
          <t xml:space="preserve">
New P/N : Dec</t>
        </r>
      </text>
    </comment>
    <comment ref="A23" authorId="0">
      <text>
        <r>
          <rPr>
            <b/>
            <sz val="9"/>
            <color indexed="81"/>
            <rFont val="Tahoma"/>
            <family val="2"/>
          </rPr>
          <t>zawd:</t>
        </r>
        <r>
          <rPr>
            <sz val="9"/>
            <color indexed="81"/>
            <rFont val="Tahoma"/>
            <family val="2"/>
          </rPr>
          <t xml:space="preserve">
New P/N:Dec</t>
        </r>
      </text>
    </comment>
    <comment ref="A25" authorId="0">
      <text>
        <r>
          <rPr>
            <b/>
            <sz val="9"/>
            <color indexed="81"/>
            <rFont val="Tahoma"/>
            <family val="2"/>
          </rPr>
          <t>zawd:</t>
        </r>
        <r>
          <rPr>
            <sz val="9"/>
            <color indexed="81"/>
            <rFont val="Tahoma"/>
            <family val="2"/>
          </rPr>
          <t xml:space="preserve">
New P/N : Dec</t>
        </r>
      </text>
    </comment>
    <comment ref="A27" authorId="1">
      <text>
        <r>
          <rPr>
            <b/>
            <sz val="9"/>
            <color indexed="81"/>
            <rFont val="Tahoma"/>
            <family val="2"/>
          </rPr>
          <t>luiyj:</t>
        </r>
        <r>
          <rPr>
            <sz val="9"/>
            <color indexed="81"/>
            <rFont val="Tahoma"/>
            <family val="2"/>
          </rPr>
          <t xml:space="preserve">
New product in Aug13 (PD)
</t>
        </r>
      </text>
    </comment>
    <comment ref="G28" authorId="0">
      <text>
        <r>
          <rPr>
            <b/>
            <sz val="9"/>
            <color indexed="81"/>
            <rFont val="Tahoma"/>
            <family val="2"/>
          </rPr>
          <t>zawd:</t>
        </r>
        <r>
          <rPr>
            <sz val="9"/>
            <color indexed="81"/>
            <rFont val="Tahoma"/>
            <family val="2"/>
          </rPr>
          <t xml:space="preserve">
Mistake 0.219
Correction 0.1748
</t>
        </r>
      </text>
    </comment>
    <comment ref="A45" authorId="1">
      <text>
        <r>
          <rPr>
            <b/>
            <sz val="9"/>
            <color indexed="81"/>
            <rFont val="Tahoma"/>
            <family val="2"/>
          </rPr>
          <t>luiyj:</t>
        </r>
        <r>
          <rPr>
            <sz val="9"/>
            <color indexed="81"/>
            <rFont val="Tahoma"/>
            <family val="2"/>
          </rPr>
          <t xml:space="preserve">
Year 2012 product no sale order</t>
        </r>
      </text>
    </comment>
    <comment ref="A47" authorId="0">
      <text>
        <r>
          <rPr>
            <b/>
            <sz val="9"/>
            <color indexed="81"/>
            <rFont val="Tahoma"/>
            <family val="2"/>
          </rPr>
          <t>zawd:</t>
        </r>
        <r>
          <rPr>
            <sz val="9"/>
            <color indexed="81"/>
            <rFont val="Tahoma"/>
            <family val="2"/>
          </rPr>
          <t xml:space="preserve">
Changi do not run this part no. yet. 16 09 13
</t>
        </r>
      </text>
    </comment>
    <comment ref="F50" authorId="0">
      <text>
        <r>
          <rPr>
            <b/>
            <sz val="9"/>
            <color indexed="81"/>
            <rFont val="Tahoma"/>
            <family val="2"/>
          </rPr>
          <t>zawd</t>
        </r>
      </text>
    </comment>
    <comment ref="G50" authorId="0">
      <text>
        <r>
          <rPr>
            <b/>
            <sz val="9"/>
            <color indexed="81"/>
            <rFont val="Tahoma"/>
            <family val="2"/>
          </rPr>
          <t>zawd</t>
        </r>
      </text>
    </comment>
    <comment ref="A84" authorId="0">
      <text>
        <r>
          <rPr>
            <b/>
            <sz val="9"/>
            <color indexed="81"/>
            <rFont val="Tahoma"/>
            <family val="2"/>
          </rPr>
          <t>zawd:</t>
        </r>
        <r>
          <rPr>
            <sz val="9"/>
            <color indexed="81"/>
            <rFont val="Tahoma"/>
            <family val="2"/>
          </rPr>
          <t xml:space="preserve">
New P/N : Dec</t>
        </r>
      </text>
    </comment>
    <comment ref="A111" authorId="0">
      <text>
        <r>
          <rPr>
            <b/>
            <sz val="9"/>
            <color indexed="81"/>
            <rFont val="Tahoma"/>
            <family val="2"/>
          </rPr>
          <t>zawd:</t>
        </r>
        <r>
          <rPr>
            <sz val="9"/>
            <color indexed="81"/>
            <rFont val="Tahoma"/>
            <family val="2"/>
          </rPr>
          <t xml:space="preserve">
Add in for data accuracy</t>
        </r>
      </text>
    </comment>
    <comment ref="A163" authorId="0">
      <text>
        <r>
          <rPr>
            <b/>
            <sz val="9"/>
            <color indexed="81"/>
            <rFont val="Tahoma"/>
            <family val="2"/>
          </rPr>
          <t>zawd:</t>
        </r>
        <r>
          <rPr>
            <sz val="9"/>
            <color indexed="81"/>
            <rFont val="Tahoma"/>
            <family val="2"/>
          </rPr>
          <t xml:space="preserve">
Add 13 Dec 13</t>
        </r>
      </text>
    </comment>
    <comment ref="A164" authorId="0">
      <text>
        <r>
          <rPr>
            <b/>
            <sz val="9"/>
            <color indexed="81"/>
            <rFont val="Tahoma"/>
            <family val="2"/>
          </rPr>
          <t>zawd:</t>
        </r>
        <r>
          <rPr>
            <sz val="9"/>
            <color indexed="81"/>
            <rFont val="Tahoma"/>
            <family val="2"/>
          </rPr>
          <t xml:space="preserve">
Add in 13 Dec 13</t>
        </r>
      </text>
    </comment>
    <comment ref="A165" authorId="0">
      <text>
        <r>
          <rPr>
            <b/>
            <sz val="9"/>
            <color indexed="81"/>
            <rFont val="Tahoma"/>
            <family val="2"/>
          </rPr>
          <t>zawd:</t>
        </r>
        <r>
          <rPr>
            <sz val="9"/>
            <color indexed="81"/>
            <rFont val="Tahoma"/>
            <family val="2"/>
          </rPr>
          <t xml:space="preserve">
Add in 13 Dec 13</t>
        </r>
      </text>
    </comment>
    <comment ref="F166" authorId="0">
      <text>
        <r>
          <rPr>
            <b/>
            <sz val="9"/>
            <color indexed="81"/>
            <rFont val="Tahoma"/>
            <family val="2"/>
          </rPr>
          <t>zawd:</t>
        </r>
        <r>
          <rPr>
            <sz val="9"/>
            <color indexed="81"/>
            <rFont val="Tahoma"/>
            <family val="2"/>
          </rPr>
          <t xml:space="preserve">
updated on 20 Jan 15.
Update on 16 Feb 15.</t>
        </r>
      </text>
    </comment>
    <comment ref="G166" authorId="0">
      <text>
        <r>
          <rPr>
            <b/>
            <sz val="9"/>
            <color indexed="81"/>
            <rFont val="Tahoma"/>
            <family val="2"/>
          </rPr>
          <t>zawd:</t>
        </r>
        <r>
          <rPr>
            <sz val="9"/>
            <color indexed="81"/>
            <rFont val="Tahoma"/>
            <family val="2"/>
          </rPr>
          <t xml:space="preserve">
updated on 20 Jan 15.
Update on 16 Feb 15.
Update on 05 Mar 15</t>
        </r>
      </text>
    </comment>
    <comment ref="A170" authorId="0">
      <text>
        <r>
          <rPr>
            <b/>
            <sz val="9"/>
            <color indexed="81"/>
            <rFont val="Tahoma"/>
            <family val="2"/>
          </rPr>
          <t>zawd:</t>
        </r>
        <r>
          <rPr>
            <sz val="9"/>
            <color indexed="81"/>
            <rFont val="Tahoma"/>
            <family val="2"/>
          </rPr>
          <t xml:space="preserve">
Add in 13 Dec 13</t>
        </r>
      </text>
    </comment>
    <comment ref="A188" authorId="0">
      <text>
        <r>
          <rPr>
            <b/>
            <sz val="9"/>
            <color indexed="81"/>
            <rFont val="Tahoma"/>
            <family val="2"/>
          </rPr>
          <t>zawd:</t>
        </r>
        <r>
          <rPr>
            <sz val="9"/>
            <color indexed="81"/>
            <rFont val="Tahoma"/>
            <family val="2"/>
          </rPr>
          <t xml:space="preserve">
New P/N : Dec</t>
        </r>
      </text>
    </comment>
    <comment ref="A191" authorId="0">
      <text>
        <r>
          <rPr>
            <b/>
            <sz val="9"/>
            <color indexed="81"/>
            <rFont val="Tahoma"/>
            <family val="2"/>
          </rPr>
          <t>zawd:</t>
        </r>
        <r>
          <rPr>
            <sz val="9"/>
            <color indexed="81"/>
            <rFont val="Tahoma"/>
            <family val="2"/>
          </rPr>
          <t xml:space="preserve">
Add in 13 Dec 13.
</t>
        </r>
      </text>
    </comment>
    <comment ref="F200" authorId="0">
      <text>
        <r>
          <rPr>
            <b/>
            <sz val="9"/>
            <color indexed="81"/>
            <rFont val="Tahoma"/>
            <family val="2"/>
          </rPr>
          <t>zawd:</t>
        </r>
        <r>
          <rPr>
            <sz val="9"/>
            <color indexed="81"/>
            <rFont val="Tahoma"/>
            <family val="2"/>
          </rPr>
          <t xml:space="preserve">
updated with estd GOP bec previous GOP was counted one sample.</t>
        </r>
      </text>
    </comment>
    <comment ref="G261" authorId="0">
      <text>
        <r>
          <rPr>
            <b/>
            <sz val="9"/>
            <color indexed="81"/>
            <rFont val="Tahoma"/>
            <family val="2"/>
          </rPr>
          <t>zawd:</t>
        </r>
        <r>
          <rPr>
            <sz val="9"/>
            <color indexed="81"/>
            <rFont val="Tahoma"/>
            <family val="2"/>
          </rPr>
          <t xml:space="preserve">
Mistake 0.042.
Correction 0.0649
by Liang.
</t>
        </r>
      </text>
    </comment>
    <comment ref="F274" authorId="0">
      <text>
        <r>
          <rPr>
            <b/>
            <sz val="9"/>
            <color indexed="81"/>
            <rFont val="Tahoma"/>
            <family val="2"/>
          </rPr>
          <t>zawd:</t>
        </r>
        <r>
          <rPr>
            <sz val="9"/>
            <color indexed="81"/>
            <rFont val="Tahoma"/>
            <family val="2"/>
          </rPr>
          <t xml:space="preserve">
updated 0.029 to 0.024, 15 Jan 15</t>
        </r>
      </text>
    </comment>
    <comment ref="G274" authorId="0">
      <text>
        <r>
          <rPr>
            <b/>
            <sz val="9"/>
            <color indexed="81"/>
            <rFont val="Tahoma"/>
            <family val="2"/>
          </rPr>
          <t>zawd:</t>
        </r>
        <r>
          <rPr>
            <sz val="9"/>
            <color indexed="81"/>
            <rFont val="Tahoma"/>
            <family val="2"/>
          </rPr>
          <t xml:space="preserve">
updated 0.029 to 0.024, 15 Jan 15</t>
        </r>
      </text>
    </comment>
    <comment ref="G285" authorId="0">
      <text>
        <r>
          <rPr>
            <b/>
            <sz val="9"/>
            <color indexed="81"/>
            <rFont val="Tahoma"/>
            <family val="2"/>
          </rPr>
          <t>zawd:</t>
        </r>
        <r>
          <rPr>
            <sz val="9"/>
            <color indexed="81"/>
            <rFont val="Tahoma"/>
            <family val="2"/>
          </rPr>
          <t xml:space="preserve">
mistake 0.049., 
Correction 0.0566 by Liang.</t>
        </r>
      </text>
    </comment>
    <comment ref="A293" authorId="0">
      <text>
        <r>
          <rPr>
            <b/>
            <sz val="9"/>
            <color indexed="81"/>
            <rFont val="Tahoma"/>
            <family val="2"/>
          </rPr>
          <t>zawd:</t>
        </r>
        <r>
          <rPr>
            <sz val="9"/>
            <color indexed="81"/>
            <rFont val="Tahoma"/>
            <family val="2"/>
          </rPr>
          <t xml:space="preserve">
Add in 13 Dec 13</t>
        </r>
      </text>
    </comment>
    <comment ref="A302" authorId="1">
      <text>
        <r>
          <rPr>
            <b/>
            <sz val="9"/>
            <color indexed="81"/>
            <rFont val="Tahoma"/>
            <family val="2"/>
          </rPr>
          <t>luiyj:</t>
        </r>
        <r>
          <rPr>
            <sz val="9"/>
            <color indexed="81"/>
            <rFont val="Tahoma"/>
            <family val="2"/>
          </rPr>
          <t xml:space="preserve">
No production order</t>
        </r>
      </text>
    </comment>
    <comment ref="G309" authorId="0">
      <text>
        <r>
          <rPr>
            <b/>
            <sz val="9"/>
            <color indexed="81"/>
            <rFont val="Tahoma"/>
            <family val="2"/>
          </rPr>
          <t>zawd:</t>
        </r>
        <r>
          <rPr>
            <sz val="9"/>
            <color indexed="81"/>
            <rFont val="Tahoma"/>
            <family val="2"/>
          </rPr>
          <t xml:space="preserve">
Mistake 0.042.
Correction 0.0649
by Liang.
</t>
        </r>
      </text>
    </comment>
    <comment ref="F324" authorId="0">
      <text>
        <r>
          <rPr>
            <b/>
            <sz val="9"/>
            <color indexed="81"/>
            <rFont val="Tahoma"/>
            <family val="2"/>
          </rPr>
          <t>zawd:</t>
        </r>
        <r>
          <rPr>
            <sz val="9"/>
            <color indexed="81"/>
            <rFont val="Tahoma"/>
            <family val="2"/>
          </rPr>
          <t xml:space="preserve">
updated 0.029 to 0.024, 15 Jan 15</t>
        </r>
      </text>
    </comment>
    <comment ref="G324" authorId="0">
      <text>
        <r>
          <rPr>
            <b/>
            <sz val="9"/>
            <color indexed="81"/>
            <rFont val="Tahoma"/>
            <family val="2"/>
          </rPr>
          <t>zawd:</t>
        </r>
        <r>
          <rPr>
            <sz val="9"/>
            <color indexed="81"/>
            <rFont val="Tahoma"/>
            <family val="2"/>
          </rPr>
          <t xml:space="preserve">
updated 0.029 to 0.024, 15 Jan 15</t>
        </r>
      </text>
    </comment>
    <comment ref="A330" authorId="1">
      <text>
        <r>
          <rPr>
            <b/>
            <sz val="9"/>
            <color indexed="81"/>
            <rFont val="Tahoma"/>
            <family val="2"/>
          </rPr>
          <t>luiyj:</t>
        </r>
        <r>
          <rPr>
            <sz val="9"/>
            <color indexed="81"/>
            <rFont val="Tahoma"/>
            <family val="2"/>
          </rPr>
          <t xml:space="preserve">
no production order</t>
        </r>
      </text>
    </comment>
    <comment ref="G341" authorId="0">
      <text>
        <r>
          <rPr>
            <b/>
            <sz val="9"/>
            <color indexed="81"/>
            <rFont val="Tahoma"/>
            <family val="2"/>
          </rPr>
          <t>zawd:</t>
        </r>
        <r>
          <rPr>
            <sz val="9"/>
            <color indexed="81"/>
            <rFont val="Tahoma"/>
            <family val="2"/>
          </rPr>
          <t xml:space="preserve">
Mistake 0.192
Correction 0.1029 by Liang.</t>
        </r>
      </text>
    </comment>
    <comment ref="A346" authorId="0">
      <text>
        <r>
          <rPr>
            <b/>
            <sz val="9"/>
            <color indexed="81"/>
            <rFont val="Tahoma"/>
            <family val="2"/>
          </rPr>
          <t>zawd:</t>
        </r>
        <r>
          <rPr>
            <sz val="9"/>
            <color indexed="81"/>
            <rFont val="Tahoma"/>
            <family val="2"/>
          </rPr>
          <t xml:space="preserve">
add in 13 Dec 13</t>
        </r>
      </text>
    </comment>
    <comment ref="A350" authorId="0">
      <text>
        <r>
          <rPr>
            <b/>
            <sz val="9"/>
            <color indexed="81"/>
            <rFont val="Tahoma"/>
            <family val="2"/>
          </rPr>
          <t>zawd:</t>
        </r>
        <r>
          <rPr>
            <sz val="9"/>
            <color indexed="81"/>
            <rFont val="Tahoma"/>
            <family val="2"/>
          </rPr>
          <t xml:space="preserve">
Changi haven't run this part number yet. 17th Sept 13.
</t>
        </r>
      </text>
    </comment>
    <comment ref="A353" authorId="0">
      <text>
        <r>
          <rPr>
            <b/>
            <sz val="9"/>
            <color indexed="81"/>
            <rFont val="Tahoma"/>
            <family val="2"/>
          </rPr>
          <t>zawd:</t>
        </r>
        <r>
          <rPr>
            <sz val="9"/>
            <color indexed="81"/>
            <rFont val="Tahoma"/>
            <family val="2"/>
          </rPr>
          <t xml:space="preserve">
Add in 13 Dec 13</t>
        </r>
      </text>
    </comment>
    <comment ref="A356" authorId="1">
      <text>
        <r>
          <rPr>
            <b/>
            <sz val="9"/>
            <color indexed="81"/>
            <rFont val="Tahoma"/>
            <family val="2"/>
          </rPr>
          <t>luiyj:</t>
        </r>
        <r>
          <rPr>
            <sz val="9"/>
            <color indexed="81"/>
            <rFont val="Tahoma"/>
            <family val="2"/>
          </rPr>
          <t xml:space="preserve">
very old part year 2010</t>
        </r>
      </text>
    </comment>
    <comment ref="A359" authorId="0">
      <text>
        <r>
          <rPr>
            <b/>
            <sz val="9"/>
            <color indexed="81"/>
            <rFont val="Tahoma"/>
            <family val="2"/>
          </rPr>
          <t>zawd:</t>
        </r>
        <r>
          <rPr>
            <sz val="9"/>
            <color indexed="81"/>
            <rFont val="Tahoma"/>
            <family val="2"/>
          </rPr>
          <t xml:space="preserve">
New P/N:Dec</t>
        </r>
      </text>
    </comment>
    <comment ref="A361" authorId="0">
      <text>
        <r>
          <rPr>
            <b/>
            <sz val="9"/>
            <color indexed="81"/>
            <rFont val="Tahoma"/>
            <family val="2"/>
          </rPr>
          <t>zawd:</t>
        </r>
        <r>
          <rPr>
            <sz val="9"/>
            <color indexed="81"/>
            <rFont val="Tahoma"/>
            <family val="2"/>
          </rPr>
          <t xml:space="preserve">
Add in 13 Dec 13</t>
        </r>
      </text>
    </comment>
    <comment ref="A362" authorId="0">
      <text>
        <r>
          <rPr>
            <b/>
            <sz val="9"/>
            <color indexed="81"/>
            <rFont val="Tahoma"/>
            <family val="2"/>
          </rPr>
          <t>zawd:</t>
        </r>
        <r>
          <rPr>
            <sz val="9"/>
            <color indexed="81"/>
            <rFont val="Tahoma"/>
            <family val="2"/>
          </rPr>
          <t xml:space="preserve">
Add in 13 Dec 13</t>
        </r>
      </text>
    </comment>
    <comment ref="A363" authorId="0">
      <text>
        <r>
          <rPr>
            <b/>
            <sz val="9"/>
            <color indexed="81"/>
            <rFont val="Tahoma"/>
            <family val="2"/>
          </rPr>
          <t>zawd:</t>
        </r>
        <r>
          <rPr>
            <sz val="9"/>
            <color indexed="81"/>
            <rFont val="Tahoma"/>
            <family val="2"/>
          </rPr>
          <t xml:space="preserve">
Add in 13 Dec 13</t>
        </r>
      </text>
    </comment>
    <comment ref="C365" authorId="0">
      <text>
        <r>
          <rPr>
            <b/>
            <sz val="9"/>
            <color indexed="81"/>
            <rFont val="Tahoma"/>
            <family val="2"/>
          </rPr>
          <t>zawd:</t>
        </r>
        <r>
          <rPr>
            <sz val="9"/>
            <color indexed="81"/>
            <rFont val="Tahoma"/>
            <family val="2"/>
          </rPr>
          <t xml:space="preserve">
corrected in MFGPro. 23/01/14
</t>
        </r>
      </text>
    </comment>
    <comment ref="F373" authorId="0">
      <text>
        <r>
          <rPr>
            <b/>
            <sz val="9"/>
            <color indexed="81"/>
            <rFont val="Tahoma"/>
            <family val="2"/>
          </rPr>
          <t>zawd:</t>
        </r>
        <r>
          <rPr>
            <sz val="9"/>
            <color indexed="81"/>
            <rFont val="Tahoma"/>
            <family val="2"/>
          </rPr>
          <t xml:space="preserve">
updated 0.026 to 0,020, 15 Jan 15
</t>
        </r>
      </text>
    </comment>
    <comment ref="G373" authorId="0">
      <text>
        <r>
          <rPr>
            <b/>
            <sz val="9"/>
            <color indexed="81"/>
            <rFont val="Tahoma"/>
            <family val="2"/>
          </rPr>
          <t>zawd:</t>
        </r>
        <r>
          <rPr>
            <sz val="9"/>
            <color indexed="81"/>
            <rFont val="Tahoma"/>
            <family val="2"/>
          </rPr>
          <t xml:space="preserve">
updated 0.026 to 0,020, 15 Jan 15
</t>
        </r>
      </text>
    </comment>
  </commentList>
</comments>
</file>

<file path=xl/comments2.xml><?xml version="1.0" encoding="utf-8"?>
<comments xmlns="http://schemas.openxmlformats.org/spreadsheetml/2006/main">
  <authors>
    <author>zawd</author>
    <author>luiyj</author>
  </authors>
  <commentList>
    <comment ref="A22" authorId="0">
      <text>
        <r>
          <rPr>
            <b/>
            <sz val="9"/>
            <color indexed="81"/>
            <rFont val="Tahoma"/>
            <family val="2"/>
          </rPr>
          <t>zawd:</t>
        </r>
        <r>
          <rPr>
            <sz val="9"/>
            <color indexed="81"/>
            <rFont val="Tahoma"/>
            <family val="2"/>
          </rPr>
          <t xml:space="preserve">
New P/N : Dec</t>
        </r>
      </text>
    </comment>
    <comment ref="A23" authorId="0">
      <text>
        <r>
          <rPr>
            <b/>
            <sz val="9"/>
            <color indexed="81"/>
            <rFont val="Tahoma"/>
            <family val="2"/>
          </rPr>
          <t>zawd:</t>
        </r>
        <r>
          <rPr>
            <sz val="9"/>
            <color indexed="81"/>
            <rFont val="Tahoma"/>
            <family val="2"/>
          </rPr>
          <t xml:space="preserve">
New P/N:Dec</t>
        </r>
      </text>
    </comment>
    <comment ref="A25" authorId="0">
      <text>
        <r>
          <rPr>
            <b/>
            <sz val="9"/>
            <color indexed="81"/>
            <rFont val="Tahoma"/>
            <family val="2"/>
          </rPr>
          <t>zawd:</t>
        </r>
        <r>
          <rPr>
            <sz val="9"/>
            <color indexed="81"/>
            <rFont val="Tahoma"/>
            <family val="2"/>
          </rPr>
          <t xml:space="preserve">
New P/N : Dec</t>
        </r>
      </text>
    </comment>
    <comment ref="A27" authorId="1">
      <text>
        <r>
          <rPr>
            <b/>
            <sz val="9"/>
            <color indexed="81"/>
            <rFont val="Tahoma"/>
            <family val="2"/>
          </rPr>
          <t>luiyj:</t>
        </r>
        <r>
          <rPr>
            <sz val="9"/>
            <color indexed="81"/>
            <rFont val="Tahoma"/>
            <family val="2"/>
          </rPr>
          <t xml:space="preserve">
New product in Aug13 (PD)
</t>
        </r>
      </text>
    </comment>
    <comment ref="A45" authorId="1">
      <text>
        <r>
          <rPr>
            <b/>
            <sz val="9"/>
            <color indexed="81"/>
            <rFont val="Tahoma"/>
            <family val="2"/>
          </rPr>
          <t>luiyj:</t>
        </r>
        <r>
          <rPr>
            <sz val="9"/>
            <color indexed="81"/>
            <rFont val="Tahoma"/>
            <family val="2"/>
          </rPr>
          <t xml:space="preserve">
Year 2012 product no sale order</t>
        </r>
      </text>
    </comment>
    <comment ref="A47" authorId="0">
      <text>
        <r>
          <rPr>
            <b/>
            <sz val="9"/>
            <color indexed="81"/>
            <rFont val="Tahoma"/>
            <family val="2"/>
          </rPr>
          <t>zawd:</t>
        </r>
        <r>
          <rPr>
            <sz val="9"/>
            <color indexed="81"/>
            <rFont val="Tahoma"/>
            <family val="2"/>
          </rPr>
          <t xml:space="preserve">
Changi do not run this part no. yet. 16 09 13
</t>
        </r>
      </text>
    </comment>
    <comment ref="A84" authorId="0">
      <text>
        <r>
          <rPr>
            <b/>
            <sz val="9"/>
            <color indexed="81"/>
            <rFont val="Tahoma"/>
            <family val="2"/>
          </rPr>
          <t>zawd:</t>
        </r>
        <r>
          <rPr>
            <sz val="9"/>
            <color indexed="81"/>
            <rFont val="Tahoma"/>
            <family val="2"/>
          </rPr>
          <t xml:space="preserve">
New P/N : Dec</t>
        </r>
      </text>
    </comment>
    <comment ref="A111" authorId="0">
      <text>
        <r>
          <rPr>
            <b/>
            <sz val="9"/>
            <color indexed="81"/>
            <rFont val="Tahoma"/>
            <family val="2"/>
          </rPr>
          <t>zawd:</t>
        </r>
        <r>
          <rPr>
            <sz val="9"/>
            <color indexed="81"/>
            <rFont val="Tahoma"/>
            <family val="2"/>
          </rPr>
          <t xml:space="preserve">
Add in for data accuracy</t>
        </r>
      </text>
    </comment>
    <comment ref="A163" authorId="0">
      <text>
        <r>
          <rPr>
            <b/>
            <sz val="9"/>
            <color indexed="81"/>
            <rFont val="Tahoma"/>
            <family val="2"/>
          </rPr>
          <t>zawd:</t>
        </r>
        <r>
          <rPr>
            <sz val="9"/>
            <color indexed="81"/>
            <rFont val="Tahoma"/>
            <family val="2"/>
          </rPr>
          <t xml:space="preserve">
Add 13 Dec 13</t>
        </r>
      </text>
    </comment>
    <comment ref="A164" authorId="0">
      <text>
        <r>
          <rPr>
            <b/>
            <sz val="9"/>
            <color indexed="81"/>
            <rFont val="Tahoma"/>
            <family val="2"/>
          </rPr>
          <t>zawd:</t>
        </r>
        <r>
          <rPr>
            <sz val="9"/>
            <color indexed="81"/>
            <rFont val="Tahoma"/>
            <family val="2"/>
          </rPr>
          <t xml:space="preserve">
Add in 13 Dec 13</t>
        </r>
      </text>
    </comment>
    <comment ref="A165" authorId="0">
      <text>
        <r>
          <rPr>
            <b/>
            <sz val="9"/>
            <color indexed="81"/>
            <rFont val="Tahoma"/>
            <family val="2"/>
          </rPr>
          <t>zawd:</t>
        </r>
        <r>
          <rPr>
            <sz val="9"/>
            <color indexed="81"/>
            <rFont val="Tahoma"/>
            <family val="2"/>
          </rPr>
          <t xml:space="preserve">
Add in 13 Dec 13</t>
        </r>
      </text>
    </comment>
    <comment ref="A170" authorId="0">
      <text>
        <r>
          <rPr>
            <b/>
            <sz val="9"/>
            <color indexed="81"/>
            <rFont val="Tahoma"/>
            <family val="2"/>
          </rPr>
          <t>zawd:</t>
        </r>
        <r>
          <rPr>
            <sz val="9"/>
            <color indexed="81"/>
            <rFont val="Tahoma"/>
            <family val="2"/>
          </rPr>
          <t xml:space="preserve">
Add in 13 Dec 13</t>
        </r>
      </text>
    </comment>
    <comment ref="A188" authorId="0">
      <text>
        <r>
          <rPr>
            <b/>
            <sz val="9"/>
            <color indexed="81"/>
            <rFont val="Tahoma"/>
            <family val="2"/>
          </rPr>
          <t>zawd:</t>
        </r>
        <r>
          <rPr>
            <sz val="9"/>
            <color indexed="81"/>
            <rFont val="Tahoma"/>
            <family val="2"/>
          </rPr>
          <t xml:space="preserve">
New P/N : Dec</t>
        </r>
      </text>
    </comment>
    <comment ref="A191" authorId="0">
      <text>
        <r>
          <rPr>
            <b/>
            <sz val="9"/>
            <color indexed="81"/>
            <rFont val="Tahoma"/>
            <family val="2"/>
          </rPr>
          <t>zawd:</t>
        </r>
        <r>
          <rPr>
            <sz val="9"/>
            <color indexed="81"/>
            <rFont val="Tahoma"/>
            <family val="2"/>
          </rPr>
          <t xml:space="preserve">
Add in 13 Dec 13.
</t>
        </r>
      </text>
    </comment>
    <comment ref="A293" authorId="0">
      <text>
        <r>
          <rPr>
            <b/>
            <sz val="9"/>
            <color indexed="81"/>
            <rFont val="Tahoma"/>
            <family val="2"/>
          </rPr>
          <t>zawd:</t>
        </r>
        <r>
          <rPr>
            <sz val="9"/>
            <color indexed="81"/>
            <rFont val="Tahoma"/>
            <family val="2"/>
          </rPr>
          <t xml:space="preserve">
Add in 13 Dec 13</t>
        </r>
      </text>
    </comment>
    <comment ref="A302" authorId="1">
      <text>
        <r>
          <rPr>
            <b/>
            <sz val="9"/>
            <color indexed="81"/>
            <rFont val="Tahoma"/>
            <family val="2"/>
          </rPr>
          <t>luiyj:</t>
        </r>
        <r>
          <rPr>
            <sz val="9"/>
            <color indexed="81"/>
            <rFont val="Tahoma"/>
            <family val="2"/>
          </rPr>
          <t xml:space="preserve">
No production order</t>
        </r>
      </text>
    </comment>
    <comment ref="A330" authorId="1">
      <text>
        <r>
          <rPr>
            <b/>
            <sz val="9"/>
            <color indexed="81"/>
            <rFont val="Tahoma"/>
            <family val="2"/>
          </rPr>
          <t>luiyj:</t>
        </r>
        <r>
          <rPr>
            <sz val="9"/>
            <color indexed="81"/>
            <rFont val="Tahoma"/>
            <family val="2"/>
          </rPr>
          <t xml:space="preserve">
no production order</t>
        </r>
      </text>
    </comment>
    <comment ref="A346" authorId="0">
      <text>
        <r>
          <rPr>
            <b/>
            <sz val="9"/>
            <color indexed="81"/>
            <rFont val="Tahoma"/>
            <family val="2"/>
          </rPr>
          <t>zawd:</t>
        </r>
        <r>
          <rPr>
            <sz val="9"/>
            <color indexed="81"/>
            <rFont val="Tahoma"/>
            <family val="2"/>
          </rPr>
          <t xml:space="preserve">
add in 13 Dec 13</t>
        </r>
      </text>
    </comment>
    <comment ref="A350" authorId="0">
      <text>
        <r>
          <rPr>
            <b/>
            <sz val="9"/>
            <color indexed="81"/>
            <rFont val="Tahoma"/>
            <family val="2"/>
          </rPr>
          <t>zawd:</t>
        </r>
        <r>
          <rPr>
            <sz val="9"/>
            <color indexed="81"/>
            <rFont val="Tahoma"/>
            <family val="2"/>
          </rPr>
          <t xml:space="preserve">
Changi haven't run this part number yet. 17th Sept 13.
</t>
        </r>
      </text>
    </comment>
    <comment ref="A353" authorId="0">
      <text>
        <r>
          <rPr>
            <b/>
            <sz val="9"/>
            <color indexed="81"/>
            <rFont val="Tahoma"/>
            <family val="2"/>
          </rPr>
          <t>zawd:</t>
        </r>
        <r>
          <rPr>
            <sz val="9"/>
            <color indexed="81"/>
            <rFont val="Tahoma"/>
            <family val="2"/>
          </rPr>
          <t xml:space="preserve">
Add in 13 Dec 13</t>
        </r>
      </text>
    </comment>
    <comment ref="A356" authorId="1">
      <text>
        <r>
          <rPr>
            <b/>
            <sz val="9"/>
            <color indexed="81"/>
            <rFont val="Tahoma"/>
            <family val="2"/>
          </rPr>
          <t>luiyj:</t>
        </r>
        <r>
          <rPr>
            <sz val="9"/>
            <color indexed="81"/>
            <rFont val="Tahoma"/>
            <family val="2"/>
          </rPr>
          <t xml:space="preserve">
very old part year 2010</t>
        </r>
      </text>
    </comment>
    <comment ref="A359" authorId="0">
      <text>
        <r>
          <rPr>
            <b/>
            <sz val="9"/>
            <color indexed="81"/>
            <rFont val="Tahoma"/>
            <family val="2"/>
          </rPr>
          <t>zawd:</t>
        </r>
        <r>
          <rPr>
            <sz val="9"/>
            <color indexed="81"/>
            <rFont val="Tahoma"/>
            <family val="2"/>
          </rPr>
          <t xml:space="preserve">
New P/N:Dec</t>
        </r>
      </text>
    </comment>
    <comment ref="A361" authorId="0">
      <text>
        <r>
          <rPr>
            <b/>
            <sz val="9"/>
            <color indexed="81"/>
            <rFont val="Tahoma"/>
            <family val="2"/>
          </rPr>
          <t>zawd:</t>
        </r>
        <r>
          <rPr>
            <sz val="9"/>
            <color indexed="81"/>
            <rFont val="Tahoma"/>
            <family val="2"/>
          </rPr>
          <t xml:space="preserve">
Add in 13 Dec 13</t>
        </r>
      </text>
    </comment>
    <comment ref="A362" authorId="0">
      <text>
        <r>
          <rPr>
            <b/>
            <sz val="9"/>
            <color indexed="81"/>
            <rFont val="Tahoma"/>
            <family val="2"/>
          </rPr>
          <t>zawd:</t>
        </r>
        <r>
          <rPr>
            <sz val="9"/>
            <color indexed="81"/>
            <rFont val="Tahoma"/>
            <family val="2"/>
          </rPr>
          <t xml:space="preserve">
Add in 13 Dec 13</t>
        </r>
      </text>
    </comment>
    <comment ref="A363" authorId="0">
      <text>
        <r>
          <rPr>
            <b/>
            <sz val="9"/>
            <color indexed="81"/>
            <rFont val="Tahoma"/>
            <family val="2"/>
          </rPr>
          <t>zawd:</t>
        </r>
        <r>
          <rPr>
            <sz val="9"/>
            <color indexed="81"/>
            <rFont val="Tahoma"/>
            <family val="2"/>
          </rPr>
          <t xml:space="preserve">
Add in 13 Dec 13</t>
        </r>
      </text>
    </comment>
  </commentList>
</comments>
</file>

<file path=xl/sharedStrings.xml><?xml version="1.0" encoding="utf-8"?>
<sst xmlns="http://schemas.openxmlformats.org/spreadsheetml/2006/main" count="3775" uniqueCount="979">
  <si>
    <t>9X13901AA</t>
  </si>
  <si>
    <t>9X13902AA</t>
  </si>
  <si>
    <t>9X12413AA</t>
  </si>
  <si>
    <t>9X12413AB</t>
  </si>
  <si>
    <t>9X13701DA</t>
  </si>
  <si>
    <t>9X13701DB</t>
  </si>
  <si>
    <t>90497005B</t>
  </si>
  <si>
    <t>90497009B</t>
  </si>
  <si>
    <t>SF</t>
  </si>
  <si>
    <t>Au</t>
  </si>
  <si>
    <t>Ni</t>
  </si>
  <si>
    <t>90100202A</t>
  </si>
  <si>
    <t>NXT-L</t>
  </si>
  <si>
    <t>AuSF</t>
  </si>
  <si>
    <t>Aurd</t>
  </si>
  <si>
    <t>90100401E</t>
  </si>
  <si>
    <t>NXT-SH</t>
  </si>
  <si>
    <t>90100601C</t>
  </si>
  <si>
    <t>FX</t>
  </si>
  <si>
    <t>NXT-H</t>
  </si>
  <si>
    <t>90110401D</t>
  </si>
  <si>
    <t>90110802A</t>
  </si>
  <si>
    <t>DF</t>
  </si>
  <si>
    <t>NXT-DSA</t>
  </si>
  <si>
    <t>90110803A</t>
  </si>
  <si>
    <t>90111101A</t>
  </si>
  <si>
    <t>NXT-FA</t>
  </si>
  <si>
    <t>NXT-AA</t>
  </si>
  <si>
    <t>90161602A</t>
  </si>
  <si>
    <t>90161602B</t>
  </si>
  <si>
    <t>90161602C</t>
  </si>
  <si>
    <t>NXT-DSGF</t>
  </si>
  <si>
    <t>AuGHST</t>
  </si>
  <si>
    <t>90161603A</t>
  </si>
  <si>
    <t>90161603B</t>
  </si>
  <si>
    <t>AuGHSTU</t>
  </si>
  <si>
    <t>90161901A</t>
  </si>
  <si>
    <t>90161901B</t>
  </si>
  <si>
    <t>90161902A</t>
  </si>
  <si>
    <t>AuSFSTU</t>
  </si>
  <si>
    <t>90161902B</t>
  </si>
  <si>
    <t>90161902C</t>
  </si>
  <si>
    <t>90161902D</t>
  </si>
  <si>
    <t>90240201E</t>
  </si>
  <si>
    <t>Ni-L</t>
  </si>
  <si>
    <t>NXT-DSB</t>
  </si>
  <si>
    <t>90250203D</t>
  </si>
  <si>
    <t>90250203F</t>
  </si>
  <si>
    <t>90250203G</t>
  </si>
  <si>
    <t>90250204A</t>
  </si>
  <si>
    <t>90250204B</t>
  </si>
  <si>
    <t>90250301B</t>
  </si>
  <si>
    <t>90250301C</t>
  </si>
  <si>
    <t>90250301D</t>
  </si>
  <si>
    <t>90250301E</t>
  </si>
  <si>
    <t>90250501A</t>
  </si>
  <si>
    <t>90250502A</t>
  </si>
  <si>
    <t>90250502B</t>
  </si>
  <si>
    <t>90260603C</t>
  </si>
  <si>
    <t>90261201B</t>
  </si>
  <si>
    <t>90261801B</t>
  </si>
  <si>
    <t>90262301A</t>
  </si>
  <si>
    <t>90262701A</t>
  </si>
  <si>
    <t>90262702A</t>
  </si>
  <si>
    <t>90262703A</t>
  </si>
  <si>
    <t>NXT-TG</t>
  </si>
  <si>
    <t>AuTG</t>
  </si>
  <si>
    <t>90301401A</t>
  </si>
  <si>
    <t>90301403A</t>
  </si>
  <si>
    <t>90301403B</t>
  </si>
  <si>
    <t>90301601B</t>
  </si>
  <si>
    <t>N</t>
  </si>
  <si>
    <t>90342801I</t>
  </si>
  <si>
    <t>AuST</t>
  </si>
  <si>
    <t>90414207A</t>
  </si>
  <si>
    <t>90414207C</t>
  </si>
  <si>
    <t>90414207D</t>
  </si>
  <si>
    <t>90414401A</t>
  </si>
  <si>
    <t>90414401D</t>
  </si>
  <si>
    <t>90414401F</t>
  </si>
  <si>
    <t>90414401G</t>
  </si>
  <si>
    <t>90414401H</t>
  </si>
  <si>
    <t>90414401J</t>
  </si>
  <si>
    <t>90414401N</t>
  </si>
  <si>
    <t>90414401O</t>
  </si>
  <si>
    <t>90414402E</t>
  </si>
  <si>
    <t>90414601A</t>
  </si>
  <si>
    <t>90414601B</t>
  </si>
  <si>
    <t>90414601E</t>
  </si>
  <si>
    <t>90493601I</t>
  </si>
  <si>
    <t>90493601J</t>
  </si>
  <si>
    <t>90496505A</t>
  </si>
  <si>
    <t>90496505E</t>
  </si>
  <si>
    <t>90496505I</t>
  </si>
  <si>
    <t>90496505K</t>
  </si>
  <si>
    <t>90496505M</t>
  </si>
  <si>
    <t>90496703A</t>
  </si>
  <si>
    <t>90496704A</t>
  </si>
  <si>
    <t>90496704C</t>
  </si>
  <si>
    <t>90496704E</t>
  </si>
  <si>
    <t>90496704G</t>
  </si>
  <si>
    <t>90496704H</t>
  </si>
  <si>
    <t>90496704I</t>
  </si>
  <si>
    <t>90496704J</t>
  </si>
  <si>
    <t>90496704K</t>
  </si>
  <si>
    <t>90496713A</t>
  </si>
  <si>
    <t>90496718A</t>
  </si>
  <si>
    <t>90497005A</t>
  </si>
  <si>
    <t>90497005C</t>
  </si>
  <si>
    <t>90497009A</t>
  </si>
  <si>
    <t>90497009C</t>
  </si>
  <si>
    <t>90497009E</t>
  </si>
  <si>
    <t>90497009G</t>
  </si>
  <si>
    <t>90497009H</t>
  </si>
  <si>
    <t>90497501A</t>
  </si>
  <si>
    <t>90497501D</t>
  </si>
  <si>
    <t>90497501G</t>
  </si>
  <si>
    <t>90497602A</t>
  </si>
  <si>
    <t>90497603A</t>
  </si>
  <si>
    <t>90497606A</t>
  </si>
  <si>
    <t>90497606B</t>
  </si>
  <si>
    <t>90498702B</t>
  </si>
  <si>
    <t>90498703A</t>
  </si>
  <si>
    <t>90498703B</t>
  </si>
  <si>
    <t>90498703C</t>
  </si>
  <si>
    <t>90498801A</t>
  </si>
  <si>
    <t>90498801B</t>
  </si>
  <si>
    <t>90498801C</t>
  </si>
  <si>
    <t>90498801D</t>
  </si>
  <si>
    <t>90498801E</t>
  </si>
  <si>
    <t>90498802B</t>
  </si>
  <si>
    <t>90498803A</t>
  </si>
  <si>
    <t>90621101A</t>
  </si>
  <si>
    <t>90621101B</t>
  </si>
  <si>
    <t>90621101C</t>
  </si>
  <si>
    <t>90621102A</t>
  </si>
  <si>
    <t>90621102B</t>
  </si>
  <si>
    <t>90641610H</t>
  </si>
  <si>
    <t>90641610J</t>
  </si>
  <si>
    <t>90642006E</t>
  </si>
  <si>
    <t>90642901C</t>
  </si>
  <si>
    <t>90645302A</t>
  </si>
  <si>
    <t>90690801C</t>
  </si>
  <si>
    <t>90720105E</t>
  </si>
  <si>
    <t>90720302A</t>
  </si>
  <si>
    <t>90722903E</t>
  </si>
  <si>
    <t>90722903H</t>
  </si>
  <si>
    <t>90722903I</t>
  </si>
  <si>
    <t>90722903J</t>
  </si>
  <si>
    <t>90722906B</t>
  </si>
  <si>
    <t>90723003D</t>
  </si>
  <si>
    <t>90723003E</t>
  </si>
  <si>
    <t>90723003F</t>
  </si>
  <si>
    <t>90723003G</t>
  </si>
  <si>
    <t>90723003I</t>
  </si>
  <si>
    <t>90723003J</t>
  </si>
  <si>
    <t>90723003K</t>
  </si>
  <si>
    <t>90723003L</t>
  </si>
  <si>
    <t>90723004A</t>
  </si>
  <si>
    <t>90723006A</t>
  </si>
  <si>
    <t>90723006B</t>
  </si>
  <si>
    <t>90723007A</t>
  </si>
  <si>
    <t>90723201A</t>
  </si>
  <si>
    <t>90723201B</t>
  </si>
  <si>
    <t>90724302A</t>
  </si>
  <si>
    <t>90724302B</t>
  </si>
  <si>
    <t>90724302C</t>
  </si>
  <si>
    <t>90724302D</t>
  </si>
  <si>
    <t>90781204B</t>
  </si>
  <si>
    <t>90781204C</t>
  </si>
  <si>
    <t>90781704B</t>
  </si>
  <si>
    <t>90781704G</t>
  </si>
  <si>
    <t>90781704I</t>
  </si>
  <si>
    <t>90781704J</t>
  </si>
  <si>
    <t>90781706C</t>
  </si>
  <si>
    <t>90781706F</t>
  </si>
  <si>
    <t>90781707A</t>
  </si>
  <si>
    <t>90781707B</t>
  </si>
  <si>
    <t>90782616C</t>
  </si>
  <si>
    <t>90782616D</t>
  </si>
  <si>
    <t>90783903N</t>
  </si>
  <si>
    <t>90783903O</t>
  </si>
  <si>
    <t>90783903Q</t>
  </si>
  <si>
    <t>90783904A</t>
  </si>
  <si>
    <t>90784602C</t>
  </si>
  <si>
    <t>90784602D</t>
  </si>
  <si>
    <t>90785302A</t>
  </si>
  <si>
    <t>90785302C</t>
  </si>
  <si>
    <t>90785403A</t>
  </si>
  <si>
    <t>90785801A</t>
  </si>
  <si>
    <t>90842501B</t>
  </si>
  <si>
    <t>90842601A</t>
  </si>
  <si>
    <t>90842601B</t>
  </si>
  <si>
    <t>90842602A</t>
  </si>
  <si>
    <t>90951702K</t>
  </si>
  <si>
    <t>90951702L</t>
  </si>
  <si>
    <t>90970801F</t>
  </si>
  <si>
    <t>90971801C</t>
  </si>
  <si>
    <t>90971803C</t>
  </si>
  <si>
    <t>90974602C</t>
  </si>
  <si>
    <t>90974602D</t>
  </si>
  <si>
    <t>90975806A</t>
  </si>
  <si>
    <t>90975806B</t>
  </si>
  <si>
    <t>90975806C</t>
  </si>
  <si>
    <t>90975806D</t>
  </si>
  <si>
    <t>90RD19201A</t>
  </si>
  <si>
    <t>90RD19201B</t>
  </si>
  <si>
    <t>90RD20801A</t>
  </si>
  <si>
    <t>91020302C</t>
  </si>
  <si>
    <t>91020302D</t>
  </si>
  <si>
    <t>91090301A</t>
  </si>
  <si>
    <t>91090402A</t>
  </si>
  <si>
    <t>91090402B</t>
  </si>
  <si>
    <t>91090402C</t>
  </si>
  <si>
    <t>91090501A</t>
  </si>
  <si>
    <t>91090501B</t>
  </si>
  <si>
    <t>91090501C</t>
  </si>
  <si>
    <t>91090601A</t>
  </si>
  <si>
    <t>91110102A</t>
  </si>
  <si>
    <t>91160103A</t>
  </si>
  <si>
    <t>91180201B</t>
  </si>
  <si>
    <t>91180202A</t>
  </si>
  <si>
    <t>91230201A</t>
  </si>
  <si>
    <t>91230202A</t>
  </si>
  <si>
    <t>91230202B</t>
  </si>
  <si>
    <t>91320101A</t>
  </si>
  <si>
    <t>91320102A</t>
  </si>
  <si>
    <t>91320103A</t>
  </si>
  <si>
    <t>91320104A</t>
  </si>
  <si>
    <t>91320201A</t>
  </si>
  <si>
    <t>91320202A</t>
  </si>
  <si>
    <t>91380101A</t>
  </si>
  <si>
    <t>91380101B</t>
  </si>
  <si>
    <t>91380102A</t>
  </si>
  <si>
    <t>91380102B</t>
  </si>
  <si>
    <t>91380102C</t>
  </si>
  <si>
    <t>91380102D</t>
  </si>
  <si>
    <t>91380103A</t>
  </si>
  <si>
    <t>91380103B</t>
  </si>
  <si>
    <t>91380103C</t>
  </si>
  <si>
    <t>91380201A</t>
  </si>
  <si>
    <t>91400101B</t>
  </si>
  <si>
    <t>91420101A</t>
  </si>
  <si>
    <t>91480101A</t>
  </si>
  <si>
    <t>91480201A</t>
  </si>
  <si>
    <t>91480202A</t>
  </si>
  <si>
    <t>9X12106KA</t>
  </si>
  <si>
    <t>9X12106MA</t>
  </si>
  <si>
    <t>9X12106NA</t>
  </si>
  <si>
    <t>9X12106OA</t>
  </si>
  <si>
    <t>9X12106QA</t>
  </si>
  <si>
    <t>9X12107JA</t>
  </si>
  <si>
    <t>9X12107KA</t>
  </si>
  <si>
    <t>9X12107OA</t>
  </si>
  <si>
    <t>9X12107PA</t>
  </si>
  <si>
    <t>9X12107QA</t>
  </si>
  <si>
    <t>9X12110EA</t>
  </si>
  <si>
    <t>9X12110GA</t>
  </si>
  <si>
    <t>9X12110HA</t>
  </si>
  <si>
    <t>9X12110IA</t>
  </si>
  <si>
    <t>9X12110JA</t>
  </si>
  <si>
    <t>9X12110KA</t>
  </si>
  <si>
    <t>9X12110KB</t>
  </si>
  <si>
    <t>9X12110LA</t>
  </si>
  <si>
    <t>9X12110MA</t>
  </si>
  <si>
    <t>9X12121AA</t>
  </si>
  <si>
    <t>9X12121AB</t>
  </si>
  <si>
    <t>9X12121BA</t>
  </si>
  <si>
    <t>9X12121CA</t>
  </si>
  <si>
    <t>9X12122AA</t>
  </si>
  <si>
    <t>9X12128AA</t>
  </si>
  <si>
    <t>9X12402DA</t>
  </si>
  <si>
    <t>9X12403BA</t>
  </si>
  <si>
    <t>9X12404CA</t>
  </si>
  <si>
    <t>9X12404DA</t>
  </si>
  <si>
    <t>9X12404EA</t>
  </si>
  <si>
    <t>9X12406CA</t>
  </si>
  <si>
    <t>9X12406DA</t>
  </si>
  <si>
    <t>9X12406EA</t>
  </si>
  <si>
    <t>9X12406GA</t>
  </si>
  <si>
    <t>9X12406HA</t>
  </si>
  <si>
    <t>9X12406JA</t>
  </si>
  <si>
    <t>9X12406KA</t>
  </si>
  <si>
    <t>9X12413AAU</t>
  </si>
  <si>
    <t>9X12413CA</t>
  </si>
  <si>
    <t>9X12413DA</t>
  </si>
  <si>
    <t>9X12413EA</t>
  </si>
  <si>
    <t>9X12415AA</t>
  </si>
  <si>
    <t>9X12415AAU</t>
  </si>
  <si>
    <t>9X12415BA</t>
  </si>
  <si>
    <t>9X12415CA</t>
  </si>
  <si>
    <t>9X12415EA</t>
  </si>
  <si>
    <t>9X12415FA</t>
  </si>
  <si>
    <t>9X12415FAU</t>
  </si>
  <si>
    <t>9X12415GA</t>
  </si>
  <si>
    <t>9X12415HA</t>
  </si>
  <si>
    <t>9X12415IA</t>
  </si>
  <si>
    <t>9X12415IAU</t>
  </si>
  <si>
    <t>9X12415ZA</t>
  </si>
  <si>
    <t>9X12416AA</t>
  </si>
  <si>
    <t>9X12416BA</t>
  </si>
  <si>
    <t>9X12417AA</t>
  </si>
  <si>
    <t>9X12417CA</t>
  </si>
  <si>
    <t>9X12417DA</t>
  </si>
  <si>
    <t>9X12419BA</t>
  </si>
  <si>
    <t>9X12420AA</t>
  </si>
  <si>
    <t>9X12501AA</t>
  </si>
  <si>
    <t>9X12501BA</t>
  </si>
  <si>
    <t>9X12501CA</t>
  </si>
  <si>
    <t>9X12501CAU</t>
  </si>
  <si>
    <t>9X13101AA</t>
  </si>
  <si>
    <t>9X13101CA</t>
  </si>
  <si>
    <t>9X13101EA</t>
  </si>
  <si>
    <t>9X13601BA</t>
  </si>
  <si>
    <t>9X13602CA</t>
  </si>
  <si>
    <t>9X13602CB</t>
  </si>
  <si>
    <t>9X13602GA</t>
  </si>
  <si>
    <t>9X13602IA</t>
  </si>
  <si>
    <t>9X13602KA</t>
  </si>
  <si>
    <t>9X13605AA</t>
  </si>
  <si>
    <t>9X13606AA</t>
  </si>
  <si>
    <t>9X13702BB</t>
  </si>
  <si>
    <t>9X13702DA</t>
  </si>
  <si>
    <t>9X13704AB</t>
  </si>
  <si>
    <t>9X13704CA</t>
  </si>
  <si>
    <t>9X13704DA</t>
  </si>
  <si>
    <t>9X13704EA</t>
  </si>
  <si>
    <t>9X13705BA</t>
  </si>
  <si>
    <t>9X13705BB</t>
  </si>
  <si>
    <t>9X13705DA</t>
  </si>
  <si>
    <t>9X13705DB</t>
  </si>
  <si>
    <t>9X13705EA</t>
  </si>
  <si>
    <t>9X13705GA</t>
  </si>
  <si>
    <t>9X13901CA</t>
  </si>
  <si>
    <t>9X13902BA</t>
  </si>
  <si>
    <t>9X13902BAU</t>
  </si>
  <si>
    <t>9X13902CA</t>
  </si>
  <si>
    <t>9X13902DA</t>
  </si>
  <si>
    <t>9X15101AA</t>
  </si>
  <si>
    <t>9X16001EA</t>
  </si>
  <si>
    <t>9X16001FA</t>
  </si>
  <si>
    <t>9X16001GA</t>
  </si>
  <si>
    <t>9X16001HA</t>
  </si>
  <si>
    <t>9X16001IA</t>
  </si>
  <si>
    <t>9X16001KA</t>
  </si>
  <si>
    <t>9X16001LA</t>
  </si>
  <si>
    <t>9X16002FA</t>
  </si>
  <si>
    <t>9X16002GA</t>
  </si>
  <si>
    <t>9X16002HA</t>
  </si>
  <si>
    <t>9X16002JA</t>
  </si>
  <si>
    <t>9X16002OA</t>
  </si>
  <si>
    <t>9X16003EA</t>
  </si>
  <si>
    <t>9X16003FA</t>
  </si>
  <si>
    <t>9X16003GA</t>
  </si>
  <si>
    <t>9X16003IA</t>
  </si>
  <si>
    <t>9X16004AA</t>
  </si>
  <si>
    <t>9X16004BA</t>
  </si>
  <si>
    <t>9X16019CA</t>
  </si>
  <si>
    <t>9X21002AA</t>
  </si>
  <si>
    <t>9X21003BA</t>
  </si>
  <si>
    <t>9X21003CA</t>
  </si>
  <si>
    <t>9X21003DA</t>
  </si>
  <si>
    <t>9X21003EA</t>
  </si>
  <si>
    <t>9X21005AA</t>
  </si>
  <si>
    <t>9X22002JB</t>
  </si>
  <si>
    <t>9X22002KB</t>
  </si>
  <si>
    <t>9X23206HA</t>
  </si>
  <si>
    <t>9X23206IA</t>
  </si>
  <si>
    <t>9X23207HA</t>
  </si>
  <si>
    <t>9X23207IA</t>
  </si>
  <si>
    <t>9X23208EA</t>
  </si>
  <si>
    <t>9X23209KA</t>
  </si>
  <si>
    <t>9X23209LA</t>
  </si>
  <si>
    <t>9X23209NA</t>
  </si>
  <si>
    <t>9X23209OA</t>
  </si>
  <si>
    <t>9X23212DA</t>
  </si>
  <si>
    <t>9X23221AA</t>
  </si>
  <si>
    <t>9X25201AA</t>
  </si>
  <si>
    <t>9X25301AA</t>
  </si>
  <si>
    <t>9X31002AA</t>
  </si>
  <si>
    <t>9X33202AA</t>
  </si>
  <si>
    <t>9X33202BA</t>
  </si>
  <si>
    <t>9X33204CA</t>
  </si>
  <si>
    <t>9X33205AA</t>
  </si>
  <si>
    <t>9X33207AA</t>
  </si>
  <si>
    <t>9X33207BA</t>
  </si>
  <si>
    <t>9X33207DA</t>
  </si>
  <si>
    <t>9X33210AA</t>
  </si>
  <si>
    <t>9X33211AA</t>
  </si>
  <si>
    <t>9X33212AA</t>
  </si>
  <si>
    <t>9X33214AA</t>
  </si>
  <si>
    <t>9X33215AA</t>
  </si>
  <si>
    <t>9X33216AA</t>
  </si>
  <si>
    <t>9X33216AB</t>
  </si>
  <si>
    <t>9X33216BA</t>
  </si>
  <si>
    <t>9X33216CA</t>
  </si>
  <si>
    <t>9X36005AA</t>
  </si>
  <si>
    <t>9X36006AA</t>
  </si>
  <si>
    <t>9X36006BA</t>
  </si>
  <si>
    <t>9X36006CA</t>
  </si>
  <si>
    <t>9X36008AA</t>
  </si>
  <si>
    <t>O</t>
  </si>
  <si>
    <t>80110803AF1</t>
  </si>
  <si>
    <t>80161602BF1</t>
  </si>
  <si>
    <t>80161602CF1</t>
  </si>
  <si>
    <t>80161603AF1</t>
  </si>
  <si>
    <t>80161603BF1</t>
  </si>
  <si>
    <t>80161901AF1</t>
  </si>
  <si>
    <t>80161901BF1</t>
  </si>
  <si>
    <t>80161902AF1</t>
  </si>
  <si>
    <t>80161902BF1</t>
  </si>
  <si>
    <t>80161902CF1</t>
  </si>
  <si>
    <t>80161902DF1</t>
  </si>
  <si>
    <t>80240201EF1</t>
  </si>
  <si>
    <t>80250203FF1</t>
  </si>
  <si>
    <t>80250203GF1</t>
  </si>
  <si>
    <t>80250204AF1</t>
  </si>
  <si>
    <t>80250204BF1</t>
  </si>
  <si>
    <t>80250301DF1</t>
  </si>
  <si>
    <t>80250301EF1</t>
  </si>
  <si>
    <t>80250502BF1</t>
  </si>
  <si>
    <t>80260603CF1</t>
  </si>
  <si>
    <t>80262701AF1</t>
  </si>
  <si>
    <t>80262702AF1</t>
  </si>
  <si>
    <t>80262703AF1</t>
  </si>
  <si>
    <t>80414207CF1</t>
  </si>
  <si>
    <t>80414207DF1</t>
  </si>
  <si>
    <t>80414401HF1</t>
  </si>
  <si>
    <t>80414401JF1</t>
  </si>
  <si>
    <t>80414401NF1</t>
  </si>
  <si>
    <t>804144010F1</t>
  </si>
  <si>
    <t>80414402EF1</t>
  </si>
  <si>
    <t>80496505IF1</t>
  </si>
  <si>
    <t>80496505KF1</t>
  </si>
  <si>
    <t>80496505MF1</t>
  </si>
  <si>
    <t>80496704IF1</t>
  </si>
  <si>
    <t>80496704JF1</t>
  </si>
  <si>
    <t>80496704KF1</t>
  </si>
  <si>
    <t>80496718AF1</t>
  </si>
  <si>
    <t>80497009CF1</t>
  </si>
  <si>
    <t>80497009EF1</t>
  </si>
  <si>
    <t>80497009GF1</t>
  </si>
  <si>
    <t>80497009HF1</t>
  </si>
  <si>
    <t>80497501GF1</t>
  </si>
  <si>
    <t>80497606AF1</t>
  </si>
  <si>
    <t>80497606BF1</t>
  </si>
  <si>
    <t>80498702BF1</t>
  </si>
  <si>
    <t>80498703AF1</t>
  </si>
  <si>
    <t>80498703BF1</t>
  </si>
  <si>
    <t>80498703CF1</t>
  </si>
  <si>
    <t>80498801DF1</t>
  </si>
  <si>
    <t>80498801EF1</t>
  </si>
  <si>
    <t>80621101AF1</t>
  </si>
  <si>
    <t>80621101BF1</t>
  </si>
  <si>
    <t>80621102AF1</t>
  </si>
  <si>
    <t>80621102BF1</t>
  </si>
  <si>
    <t>80722903IF1</t>
  </si>
  <si>
    <t>80722903JF1</t>
  </si>
  <si>
    <t>80722906BF1</t>
  </si>
  <si>
    <t>80723003IF1</t>
  </si>
  <si>
    <t>80723003KF1</t>
  </si>
  <si>
    <t>80723003LF1</t>
  </si>
  <si>
    <t>80723004AF1</t>
  </si>
  <si>
    <t>80723006AF1</t>
  </si>
  <si>
    <t>80723006BF1</t>
  </si>
  <si>
    <t>80723201BF1</t>
  </si>
  <si>
    <t>80724302AF1</t>
  </si>
  <si>
    <t>80724302BF1</t>
  </si>
  <si>
    <t>80724302CF1</t>
  </si>
  <si>
    <t>80724302DF1</t>
  </si>
  <si>
    <t>80781704IF1</t>
  </si>
  <si>
    <t>80781704JF1</t>
  </si>
  <si>
    <t>80781707BF1</t>
  </si>
  <si>
    <t>80782616DF1</t>
  </si>
  <si>
    <t>80783904AF1</t>
  </si>
  <si>
    <t>80784602DF1</t>
  </si>
  <si>
    <t>80785302CF1</t>
  </si>
  <si>
    <t>80951702GF1</t>
  </si>
  <si>
    <t>80951702IF1</t>
  </si>
  <si>
    <t>80974602CF1</t>
  </si>
  <si>
    <t>80975806AF1</t>
  </si>
  <si>
    <t>80975806BF1</t>
  </si>
  <si>
    <t>80RD19201AF1</t>
  </si>
  <si>
    <t>80RD19201BF1</t>
  </si>
  <si>
    <t>80RD20801F1</t>
  </si>
  <si>
    <t>81180201BF1</t>
  </si>
  <si>
    <t>81180202AF1</t>
  </si>
  <si>
    <t>81230202BF1</t>
  </si>
  <si>
    <t>81320103AF1</t>
  </si>
  <si>
    <t>81320104AF1</t>
  </si>
  <si>
    <t>81320202AF1</t>
  </si>
  <si>
    <t>81380102AF1</t>
  </si>
  <si>
    <t>81380102BF1</t>
  </si>
  <si>
    <t>81380102CF1</t>
  </si>
  <si>
    <t>81380102DF1</t>
  </si>
  <si>
    <t>71380103AF1</t>
  </si>
  <si>
    <t>71380103BF1</t>
  </si>
  <si>
    <t>81380103CF1</t>
  </si>
  <si>
    <t>71380201AF1</t>
  </si>
  <si>
    <t>81420101AF1</t>
  </si>
  <si>
    <t>81480101AF1</t>
  </si>
  <si>
    <t>81480201AF1</t>
  </si>
  <si>
    <t>81480202AF1</t>
  </si>
  <si>
    <t>8X12107PAF1</t>
  </si>
  <si>
    <t>8X12107QAF1</t>
  </si>
  <si>
    <t>8X12110KAF1</t>
  </si>
  <si>
    <t>8X12110KBF1</t>
  </si>
  <si>
    <t>8X12110LAF1</t>
  </si>
  <si>
    <t>8X12110MAF1</t>
  </si>
  <si>
    <t>8X12121ABF1</t>
  </si>
  <si>
    <t>8X12121CAF1</t>
  </si>
  <si>
    <t>8X12122AAF1</t>
  </si>
  <si>
    <t>8X12128AAF1</t>
  </si>
  <si>
    <t>8X12403BAF1</t>
  </si>
  <si>
    <t>8X12406EAF1</t>
  </si>
  <si>
    <t>8X12406JAF1</t>
  </si>
  <si>
    <t>8X12406KAF1</t>
  </si>
  <si>
    <t>8X12413AUF1</t>
  </si>
  <si>
    <t>8X12413EAF1</t>
  </si>
  <si>
    <t>8X12415AUF1</t>
  </si>
  <si>
    <t>8X12415CAF1</t>
  </si>
  <si>
    <t>9X12415DA</t>
  </si>
  <si>
    <t>8X12415FUF1</t>
  </si>
  <si>
    <t>8X12415GAF1</t>
  </si>
  <si>
    <t>8X12415HAF1</t>
  </si>
  <si>
    <t>8X12415IAF1</t>
  </si>
  <si>
    <t>8X12415IUF1</t>
  </si>
  <si>
    <t>8X12420AAF1</t>
  </si>
  <si>
    <t>8X12501BAF1</t>
  </si>
  <si>
    <t>8X12501CAF1</t>
  </si>
  <si>
    <t>8X12501CUF1</t>
  </si>
  <si>
    <t>8X13101CAF1</t>
  </si>
  <si>
    <t>8X13101EAF1</t>
  </si>
  <si>
    <t>8X13704DAF1</t>
  </si>
  <si>
    <t>8X13704EAF1</t>
  </si>
  <si>
    <t>8X13705BBF1</t>
  </si>
  <si>
    <t>8X13705DBF1</t>
  </si>
  <si>
    <t>8X13705EAF1</t>
  </si>
  <si>
    <t>8X13705GAF1</t>
  </si>
  <si>
    <t>8X13902BUF1</t>
  </si>
  <si>
    <t>8X13902CAF1</t>
  </si>
  <si>
    <t>8X13902DAF1</t>
  </si>
  <si>
    <t>8X15101AAF1</t>
  </si>
  <si>
    <t>8X16001LAF1</t>
  </si>
  <si>
    <t>8X16002OAF1</t>
  </si>
  <si>
    <t>8X16003IAF1</t>
  </si>
  <si>
    <t>8X21003DAF1</t>
  </si>
  <si>
    <t>8X21003EAF1</t>
  </si>
  <si>
    <t>8X23207IAF1</t>
  </si>
  <si>
    <t>8X23209OAF1</t>
  </si>
  <si>
    <t>8X23221AAF1</t>
  </si>
  <si>
    <t>8X25301AAF1</t>
  </si>
  <si>
    <t>8X33207DAF1</t>
  </si>
  <si>
    <t>8X33216ABF1</t>
  </si>
  <si>
    <t>8X33216BAF1</t>
  </si>
  <si>
    <t>8X33216CAF1</t>
  </si>
  <si>
    <t>8X36005AAF1</t>
  </si>
  <si>
    <t>8X36006AAF1</t>
  </si>
  <si>
    <t>8X36006BAF1</t>
  </si>
  <si>
    <t>8X36006CAF1</t>
  </si>
  <si>
    <t>8X36008AAF1</t>
  </si>
  <si>
    <t>70100202AM1</t>
  </si>
  <si>
    <t>90781706G</t>
  </si>
  <si>
    <t>80781706GF1</t>
  </si>
  <si>
    <t>70781706GM1</t>
  </si>
  <si>
    <t>70100601CM1</t>
  </si>
  <si>
    <t>90496505J</t>
  </si>
  <si>
    <t>80496505JF1</t>
  </si>
  <si>
    <t>70496505JM1</t>
  </si>
  <si>
    <t>70110802AM1</t>
  </si>
  <si>
    <t>70110803AM1</t>
  </si>
  <si>
    <t>70498703CM1</t>
  </si>
  <si>
    <t>70161602AM1</t>
  </si>
  <si>
    <t>70161602BM1</t>
  </si>
  <si>
    <t>70161602CM1</t>
  </si>
  <si>
    <t>70498703BM1</t>
  </si>
  <si>
    <t>70161603BM1</t>
  </si>
  <si>
    <t>70161901AM1</t>
  </si>
  <si>
    <t>70161901BM1</t>
  </si>
  <si>
    <t>70161902AM1</t>
  </si>
  <si>
    <t>70161902BM1</t>
  </si>
  <si>
    <t>70161902CM1</t>
  </si>
  <si>
    <t>70161902DM1</t>
  </si>
  <si>
    <t>70498801DM1</t>
  </si>
  <si>
    <t>70250203BM1</t>
  </si>
  <si>
    <t>70250203FM1</t>
  </si>
  <si>
    <t>70250203GM1</t>
  </si>
  <si>
    <t>7X23209OAM1</t>
  </si>
  <si>
    <t>70250204BM1</t>
  </si>
  <si>
    <t>70250301AM1</t>
  </si>
  <si>
    <t>70250301CM1</t>
  </si>
  <si>
    <t>70498703AM1</t>
  </si>
  <si>
    <t>7X25301AAM1</t>
  </si>
  <si>
    <t>70250501AM1</t>
  </si>
  <si>
    <t>70250502AM1</t>
  </si>
  <si>
    <t>70250502BM1</t>
  </si>
  <si>
    <t>70260603CM1</t>
  </si>
  <si>
    <t>70261201BM1</t>
  </si>
  <si>
    <t>70261801BM1</t>
  </si>
  <si>
    <t>70262301AM1</t>
  </si>
  <si>
    <t>70262701AM1</t>
  </si>
  <si>
    <t>70262702AM1</t>
  </si>
  <si>
    <t>70262703AM1</t>
  </si>
  <si>
    <t>70301401AM1</t>
  </si>
  <si>
    <t>70301403AM1</t>
  </si>
  <si>
    <t>70301601AM1</t>
  </si>
  <si>
    <t>70342801IM1</t>
  </si>
  <si>
    <t>70414207AM1</t>
  </si>
  <si>
    <t>70414207CM1</t>
  </si>
  <si>
    <t>70414207DM1</t>
  </si>
  <si>
    <t>70414401AM1</t>
  </si>
  <si>
    <t>70414401DM1</t>
  </si>
  <si>
    <t>70414401FM1</t>
  </si>
  <si>
    <t>70414401GM1</t>
  </si>
  <si>
    <t>70414401HM1</t>
  </si>
  <si>
    <t>70414401JM1</t>
  </si>
  <si>
    <t>70414401NM1</t>
  </si>
  <si>
    <t>7X12415FAM1</t>
  </si>
  <si>
    <t>70414402EM1</t>
  </si>
  <si>
    <t>70414601AM1</t>
  </si>
  <si>
    <t>70414601BM1</t>
  </si>
  <si>
    <t>70414601EM1</t>
  </si>
  <si>
    <t>70493601IM1</t>
  </si>
  <si>
    <t>70493601JM1</t>
  </si>
  <si>
    <t>70720302AM1</t>
  </si>
  <si>
    <t>70496505EM1</t>
  </si>
  <si>
    <t>70496505IM1</t>
  </si>
  <si>
    <t>70496505KM1</t>
  </si>
  <si>
    <t>70496505MM1</t>
  </si>
  <si>
    <t>70496703AM1</t>
  </si>
  <si>
    <t>70496704AM1</t>
  </si>
  <si>
    <t>7X16003IAM1</t>
  </si>
  <si>
    <t>70496704EM1</t>
  </si>
  <si>
    <t>70496704GM1</t>
  </si>
  <si>
    <t>71380103AM1</t>
  </si>
  <si>
    <t>71480201AM1</t>
  </si>
  <si>
    <t>7X16002GAM1</t>
  </si>
  <si>
    <t>70496704KM1</t>
  </si>
  <si>
    <t>70414401OM1</t>
  </si>
  <si>
    <t>70496718AM1</t>
  </si>
  <si>
    <t>70497005AM1</t>
  </si>
  <si>
    <t>70497005BM1</t>
  </si>
  <si>
    <t>70497005CM1</t>
  </si>
  <si>
    <t>71420101AM1</t>
  </si>
  <si>
    <t>70497009BM1</t>
  </si>
  <si>
    <t>71090601AM1</t>
  </si>
  <si>
    <t>70250301EM1</t>
  </si>
  <si>
    <t>70497009GM1</t>
  </si>
  <si>
    <t>70497009HM1</t>
  </si>
  <si>
    <t>70497501AM1</t>
  </si>
  <si>
    <t>70497501DM1</t>
  </si>
  <si>
    <t>70497501GM1</t>
  </si>
  <si>
    <t>70497602AM1</t>
  </si>
  <si>
    <t>70497603AM1</t>
  </si>
  <si>
    <t>70497606AM1</t>
  </si>
  <si>
    <t>70497606BM1</t>
  </si>
  <si>
    <t>70498702BM1</t>
  </si>
  <si>
    <t>7X12415EAM1</t>
  </si>
  <si>
    <t>70842602AM1</t>
  </si>
  <si>
    <t>7X13704DAM1</t>
  </si>
  <si>
    <t>70498801AM1</t>
  </si>
  <si>
    <t>70498801BM1</t>
  </si>
  <si>
    <t>70240201EM1</t>
  </si>
  <si>
    <t>70784602CM1</t>
  </si>
  <si>
    <t>70498801EM1</t>
  </si>
  <si>
    <t>70498802BM1</t>
  </si>
  <si>
    <t>70498803AM1</t>
  </si>
  <si>
    <t>70621101AM1</t>
  </si>
  <si>
    <t>70621101BM1</t>
  </si>
  <si>
    <t>70621102AM1</t>
  </si>
  <si>
    <t>70621102BM1</t>
  </si>
  <si>
    <t>70641610HM1</t>
  </si>
  <si>
    <t>70641610JM1</t>
  </si>
  <si>
    <t>70642006EM1</t>
  </si>
  <si>
    <t>70642901CM1</t>
  </si>
  <si>
    <t>70645302AM1</t>
  </si>
  <si>
    <t>70690801CM1</t>
  </si>
  <si>
    <t>70720105EM1</t>
  </si>
  <si>
    <t>71090402AM1</t>
  </si>
  <si>
    <t>7X13705BAM1</t>
  </si>
  <si>
    <t>70722903HM1</t>
  </si>
  <si>
    <t>70722903IM1</t>
  </si>
  <si>
    <t>70722903JM1</t>
  </si>
  <si>
    <t>70722906BM1</t>
  </si>
  <si>
    <t>70723003DM1</t>
  </si>
  <si>
    <t>7X12413AAM1</t>
  </si>
  <si>
    <t>70723003FM1</t>
  </si>
  <si>
    <t>70723003GM1</t>
  </si>
  <si>
    <t>70723003IM1</t>
  </si>
  <si>
    <t>70723003JM1</t>
  </si>
  <si>
    <t>70723003KM1</t>
  </si>
  <si>
    <t>70723003LM1</t>
  </si>
  <si>
    <t>70723004AM1</t>
  </si>
  <si>
    <t>70723006AM1</t>
  </si>
  <si>
    <t>70723006BM1</t>
  </si>
  <si>
    <t>70723007AM1</t>
  </si>
  <si>
    <t>70723201AM1</t>
  </si>
  <si>
    <t>70723201BM1</t>
  </si>
  <si>
    <t>70724302AM1</t>
  </si>
  <si>
    <t>70724302BM1</t>
  </si>
  <si>
    <t>70724302CM1</t>
  </si>
  <si>
    <t>70724302DM1</t>
  </si>
  <si>
    <t>70781204BM1</t>
  </si>
  <si>
    <t>7X12406JAM1</t>
  </si>
  <si>
    <t>70781704BM1</t>
  </si>
  <si>
    <t>7X21005AAM1</t>
  </si>
  <si>
    <t>70781704IM1</t>
  </si>
  <si>
    <t>70781704JM1</t>
  </si>
  <si>
    <t>70781706AM1</t>
  </si>
  <si>
    <t>70781706FM1</t>
  </si>
  <si>
    <t>70781707AM1</t>
  </si>
  <si>
    <t>70781707BM1</t>
  </si>
  <si>
    <t>70782616CM1</t>
  </si>
  <si>
    <t>70782616DM1</t>
  </si>
  <si>
    <t>70783903LM1</t>
  </si>
  <si>
    <t>70783903OM1</t>
  </si>
  <si>
    <t>70783903QM1</t>
  </si>
  <si>
    <t>70783904AM1</t>
  </si>
  <si>
    <t>7X21003CAM1</t>
  </si>
  <si>
    <t>70784602DM1</t>
  </si>
  <si>
    <t>70785302AM1</t>
  </si>
  <si>
    <t>70785302CM1</t>
  </si>
  <si>
    <t>70785403AM1</t>
  </si>
  <si>
    <t>70785801AM1</t>
  </si>
  <si>
    <t>70842501BM1</t>
  </si>
  <si>
    <t>70842601AM1</t>
  </si>
  <si>
    <t>70842601BM1</t>
  </si>
  <si>
    <t>71320101AM1</t>
  </si>
  <si>
    <t>70951702GM1</t>
  </si>
  <si>
    <t>70951702IM1</t>
  </si>
  <si>
    <t>70970801FM1</t>
  </si>
  <si>
    <t>70971801CM1</t>
  </si>
  <si>
    <t>70971803CM1</t>
  </si>
  <si>
    <t>70974602AM1</t>
  </si>
  <si>
    <t>70975806AM1</t>
  </si>
  <si>
    <t>70975806BM1</t>
  </si>
  <si>
    <t>70975806CM1</t>
  </si>
  <si>
    <t>70975806DM1</t>
  </si>
  <si>
    <t>70RD19201AM1</t>
  </si>
  <si>
    <t>70RD19201BM1</t>
  </si>
  <si>
    <t>70RD20801M1</t>
  </si>
  <si>
    <t>71020302CM1</t>
  </si>
  <si>
    <t>71020302DM1</t>
  </si>
  <si>
    <t>71090301AM1</t>
  </si>
  <si>
    <t>7X36006AAM1</t>
  </si>
  <si>
    <t>71090402BM1</t>
  </si>
  <si>
    <t>71090402CM1</t>
  </si>
  <si>
    <t>71090501AM1</t>
  </si>
  <si>
    <t>70250204AM1</t>
  </si>
  <si>
    <t>71090501CM1</t>
  </si>
  <si>
    <t>70161603AM1</t>
  </si>
  <si>
    <t>71110102AM1</t>
  </si>
  <si>
    <t>71160103AM1</t>
  </si>
  <si>
    <t>71180201BM1</t>
  </si>
  <si>
    <t>71180202AM1</t>
  </si>
  <si>
    <t>71230201AM1</t>
  </si>
  <si>
    <t>71230202AM1</t>
  </si>
  <si>
    <t>71230202BM1</t>
  </si>
  <si>
    <t>7X12413DAM1</t>
  </si>
  <si>
    <t>71320102AM1</t>
  </si>
  <si>
    <t>71320103AM1</t>
  </si>
  <si>
    <t>71320104AM1</t>
  </si>
  <si>
    <t>71320202AM1</t>
  </si>
  <si>
    <t>71380101AM1</t>
  </si>
  <si>
    <t>71380101BM1</t>
  </si>
  <si>
    <t>71380102AM1</t>
  </si>
  <si>
    <t>71380102BM1</t>
  </si>
  <si>
    <t>71380102CM1</t>
  </si>
  <si>
    <t>71380102DM1</t>
  </si>
  <si>
    <t>7X16001HAM1</t>
  </si>
  <si>
    <t>71380103BM1</t>
  </si>
  <si>
    <t>71380103CM1</t>
  </si>
  <si>
    <t>71380201AM1</t>
  </si>
  <si>
    <t>71400101BM1</t>
  </si>
  <si>
    <t>7X16003EAM1</t>
  </si>
  <si>
    <t>71480101AM1</t>
  </si>
  <si>
    <t>70781204CM1</t>
  </si>
  <si>
    <t>71480202AM1</t>
  </si>
  <si>
    <t>70781704GM1</t>
  </si>
  <si>
    <t>7X12106MAM1</t>
  </si>
  <si>
    <t>7X12106NAM1</t>
  </si>
  <si>
    <t>7X12106OAM1</t>
  </si>
  <si>
    <t>7X12106QAM1</t>
  </si>
  <si>
    <t>7X36006CAM1</t>
  </si>
  <si>
    <t>7X12107KAM1</t>
  </si>
  <si>
    <t>7X13101AAM1</t>
  </si>
  <si>
    <t>7X33216AAM1</t>
  </si>
  <si>
    <t>70110401DM1</t>
  </si>
  <si>
    <t>7X16001IAM1</t>
  </si>
  <si>
    <t>7X12110GAM1</t>
  </si>
  <si>
    <t>7X12110HAM1</t>
  </si>
  <si>
    <t>7X12110IAM1</t>
  </si>
  <si>
    <t>7X12110JAM1</t>
  </si>
  <si>
    <t>70100401EM1</t>
  </si>
  <si>
    <t>7X12110KBM1</t>
  </si>
  <si>
    <t>7X12110LAM1</t>
  </si>
  <si>
    <t>7X12110MAM1</t>
  </si>
  <si>
    <t>7X12107JAM1</t>
  </si>
  <si>
    <t>7X12121ABM1</t>
  </si>
  <si>
    <t>7X12121BAM1</t>
  </si>
  <si>
    <t>7X12121CAM1</t>
  </si>
  <si>
    <t>7X12122AAM1</t>
  </si>
  <si>
    <t>7X12128AAM1</t>
  </si>
  <si>
    <t>7X12406CAM1</t>
  </si>
  <si>
    <t>7X12403BAM1</t>
  </si>
  <si>
    <t>7X12106KAM1</t>
  </si>
  <si>
    <t>7X12404DAM1</t>
  </si>
  <si>
    <t>7X12404EAM1</t>
  </si>
  <si>
    <t>7X16002FAM1</t>
  </si>
  <si>
    <t>7X12406DAM1</t>
  </si>
  <si>
    <t>7X12404CAM1</t>
  </si>
  <si>
    <t>7X12406GAM1</t>
  </si>
  <si>
    <t>7X12406HAM1</t>
  </si>
  <si>
    <t>7X12110EAM1</t>
  </si>
  <si>
    <t>7X12406KAM1</t>
  </si>
  <si>
    <t>7X12406EAM1</t>
  </si>
  <si>
    <t>7X12413AUM1</t>
  </si>
  <si>
    <t>7X12413CAM1</t>
  </si>
  <si>
    <t>7X13705DAM1</t>
  </si>
  <si>
    <t>7X12413EAM1</t>
  </si>
  <si>
    <t>7X12415AAM1</t>
  </si>
  <si>
    <t>7X12415AUM1</t>
  </si>
  <si>
    <t>7X12415BAM1</t>
  </si>
  <si>
    <t>7X12415CAM1</t>
  </si>
  <si>
    <t>7X12415DAM1</t>
  </si>
  <si>
    <t>70496505AM1</t>
  </si>
  <si>
    <t>70723003EM1</t>
  </si>
  <si>
    <t>7X12415FUM1</t>
  </si>
  <si>
    <t>7X12415GAM1</t>
  </si>
  <si>
    <t>7X12415HAM1</t>
  </si>
  <si>
    <t>70722903EM1</t>
  </si>
  <si>
    <t>7X12415IUM1</t>
  </si>
  <si>
    <t>7X12415ZAM1</t>
  </si>
  <si>
    <t>7X12416AAM1</t>
  </si>
  <si>
    <t>7X12416BAM1</t>
  </si>
  <si>
    <t>7X12417AAM1</t>
  </si>
  <si>
    <t>7X12417CAM1</t>
  </si>
  <si>
    <t>7X12417DAM1</t>
  </si>
  <si>
    <t>7X12419BAM1</t>
  </si>
  <si>
    <t>7X12420AAM1</t>
  </si>
  <si>
    <t>7X12501AAM1</t>
  </si>
  <si>
    <t>7X12501BAM1</t>
  </si>
  <si>
    <t>7X13704CAM1</t>
  </si>
  <si>
    <t>7X12501CUM1</t>
  </si>
  <si>
    <t>70496704HM1</t>
  </si>
  <si>
    <t>7X13101CAM1</t>
  </si>
  <si>
    <t>7X13101EAM1</t>
  </si>
  <si>
    <t>7X13601BAM1</t>
  </si>
  <si>
    <t>7X13602CAM1</t>
  </si>
  <si>
    <t>7X13602GAM1</t>
  </si>
  <si>
    <t>7X13602IAM1</t>
  </si>
  <si>
    <t>7X13602KAM1</t>
  </si>
  <si>
    <t>7X13605AAM1</t>
  </si>
  <si>
    <t>7X13606AAM1</t>
  </si>
  <si>
    <t>7X13701DAM1</t>
  </si>
  <si>
    <t>7X13702BAM1</t>
  </si>
  <si>
    <t>7X13702DAM1</t>
  </si>
  <si>
    <t>7X13704ABM1</t>
  </si>
  <si>
    <t>7X12121AAM1</t>
  </si>
  <si>
    <t>7X12107PAM1</t>
  </si>
  <si>
    <t>7X13704EAM1</t>
  </si>
  <si>
    <t>7X12107QAM1</t>
  </si>
  <si>
    <t>7X13705BBM1</t>
  </si>
  <si>
    <t>7X12107OAM1</t>
  </si>
  <si>
    <t>7X13705DBM1</t>
  </si>
  <si>
    <t>7X13705EAM1</t>
  </si>
  <si>
    <t>7X13705GAM1</t>
  </si>
  <si>
    <t>7X13901AAM1</t>
  </si>
  <si>
    <t>7X13901CAM1</t>
  </si>
  <si>
    <t>70111101AM1</t>
  </si>
  <si>
    <t>7X23207HAM1</t>
  </si>
  <si>
    <t>7X13902BUM1</t>
  </si>
  <si>
    <t>7X13902CAM1</t>
  </si>
  <si>
    <t>7X13902DAM1</t>
  </si>
  <si>
    <t>7X15101AAM1</t>
  </si>
  <si>
    <t>7X23209KAM1</t>
  </si>
  <si>
    <t>7X16001FAM1</t>
  </si>
  <si>
    <t>7X16001GAM1</t>
  </si>
  <si>
    <t>70496704IM1</t>
  </si>
  <si>
    <t>7X12415IAM1</t>
  </si>
  <si>
    <t>7X16001KAM1</t>
  </si>
  <si>
    <t>7X16001LAM1</t>
  </si>
  <si>
    <t>70497009EM1</t>
  </si>
  <si>
    <t>70496704CM1</t>
  </si>
  <si>
    <t>7X16002HAM1</t>
  </si>
  <si>
    <t>7X16002IAM1</t>
  </si>
  <si>
    <t>7X16002OAM1</t>
  </si>
  <si>
    <t>70497009CM1</t>
  </si>
  <si>
    <t>7X16003FAM1</t>
  </si>
  <si>
    <t>7X16003GAM1</t>
  </si>
  <si>
    <t>7X33211AAM1</t>
  </si>
  <si>
    <t>7X16004AAM1</t>
  </si>
  <si>
    <t>7X16004BAM1</t>
  </si>
  <si>
    <t>70498801CM1</t>
  </si>
  <si>
    <t>7X21002AAM1</t>
  </si>
  <si>
    <t>7X21003AAM1</t>
  </si>
  <si>
    <t>70496713AM1</t>
  </si>
  <si>
    <t>7X21003DAM1</t>
  </si>
  <si>
    <t>7X21003EAM1</t>
  </si>
  <si>
    <t>7X16019CAM1</t>
  </si>
  <si>
    <t>7X22002JAM1</t>
  </si>
  <si>
    <t>7X22002KBM1</t>
  </si>
  <si>
    <t>7X23206HAM1</t>
  </si>
  <si>
    <t>7X23206IAM1</t>
  </si>
  <si>
    <t>7X16001EAM1</t>
  </si>
  <si>
    <t>7X23207IAM1</t>
  </si>
  <si>
    <t>7X23208EAM1</t>
  </si>
  <si>
    <t>71090501BM1</t>
  </si>
  <si>
    <t>7X23209LAM1</t>
  </si>
  <si>
    <t>7X23209NAM1</t>
  </si>
  <si>
    <t>7X23212DAM1</t>
  </si>
  <si>
    <t>7X23221AAM1</t>
  </si>
  <si>
    <t>7X13902BAM1</t>
  </si>
  <si>
    <t>70250301DM1</t>
  </si>
  <si>
    <t>7X31002AAM1</t>
  </si>
  <si>
    <t>7X33202AAM1</t>
  </si>
  <si>
    <t>7X33202BAM1</t>
  </si>
  <si>
    <t>7X33204CAM1</t>
  </si>
  <si>
    <t>7X33205AAM1</t>
  </si>
  <si>
    <t>7X33207AAM1</t>
  </si>
  <si>
    <t>7X33207BAM1</t>
  </si>
  <si>
    <t>7X33207DAM1</t>
  </si>
  <si>
    <t>7X33210AAM1</t>
  </si>
  <si>
    <t>70497009AM1</t>
  </si>
  <si>
    <t>7X33212AAM1</t>
  </si>
  <si>
    <t>7X33214AAM1</t>
  </si>
  <si>
    <t>7X33215AAM1</t>
  </si>
  <si>
    <t>7X12501CAM1</t>
  </si>
  <si>
    <t>7X33216ABM1</t>
  </si>
  <si>
    <t>7X33216BAM1</t>
  </si>
  <si>
    <t>7X33216CAM1</t>
  </si>
  <si>
    <t>7X36005AAM1</t>
  </si>
  <si>
    <t>70496704JM1</t>
  </si>
  <si>
    <t>7X36006BAM1</t>
  </si>
  <si>
    <t>7X12402DAM1</t>
  </si>
  <si>
    <t>7X36008AAM1</t>
  </si>
  <si>
    <t>7X25201AAM1</t>
  </si>
  <si>
    <t>7X12110KAM1</t>
  </si>
  <si>
    <t>reference</t>
  </si>
  <si>
    <t>True</t>
  </si>
  <si>
    <t>NiHS</t>
  </si>
  <si>
    <t>DFTM</t>
  </si>
  <si>
    <t>without</t>
  </si>
  <si>
    <t>FX HDI</t>
  </si>
  <si>
    <t>NXT-DSD</t>
  </si>
  <si>
    <t>DFTT</t>
  </si>
  <si>
    <t>Cu</t>
  </si>
  <si>
    <t>Sn</t>
  </si>
  <si>
    <t>Ni-LAgSF</t>
  </si>
  <si>
    <t>AuAgSF</t>
  </si>
  <si>
    <t>SnPb</t>
  </si>
  <si>
    <t>TB</t>
  </si>
  <si>
    <t>NXT-DSG</t>
  </si>
  <si>
    <t>product</t>
  </si>
  <si>
    <t>gop</t>
  </si>
  <si>
    <t>auop</t>
  </si>
  <si>
    <t>aumot</t>
  </si>
  <si>
    <t>mot</t>
  </si>
  <si>
    <t>auf</t>
  </si>
  <si>
    <t>delta</t>
  </si>
  <si>
    <t>delta1</t>
  </si>
  <si>
    <t>part</t>
  </si>
  <si>
    <t>test</t>
  </si>
  <si>
    <t>product2</t>
  </si>
  <si>
    <t>product3</t>
  </si>
  <si>
    <t>product4</t>
  </si>
  <si>
    <t>product5</t>
  </si>
  <si>
    <t>product7</t>
  </si>
  <si>
    <t>product8</t>
  </si>
  <si>
    <t>product9</t>
  </si>
  <si>
    <t>refcomp</t>
  </si>
  <si>
    <t>DateH</t>
  </si>
  <si>
    <t>DateL</t>
  </si>
  <si>
    <t>Period</t>
  </si>
  <si>
    <t>code</t>
  </si>
  <si>
    <t>GC</t>
  </si>
  <si>
    <t>GP</t>
  </si>
  <si>
    <t>Profit</t>
  </si>
  <si>
    <t>Test</t>
  </si>
</sst>
</file>

<file path=xl/styles.xml><?xml version="1.0" encoding="utf-8"?>
<styleSheet xmlns="http://schemas.openxmlformats.org/spreadsheetml/2006/main">
  <numFmts count="4">
    <numFmt numFmtId="164" formatCode="0.0000"/>
    <numFmt numFmtId="165" formatCode="0.000"/>
    <numFmt numFmtId="166" formatCode="_-* #,##0.00\ _F_-;\-* #,##0.00\ _F_-;_-* &quot;-&quot;??\ _F_-;_-@_-"/>
    <numFmt numFmtId="167" formatCode="[$-409]d/mmm/yy;@"/>
  </numFmts>
  <fonts count="17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0"/>
      <name val="Arial"/>
      <family val="2"/>
    </font>
    <font>
      <b/>
      <sz val="10"/>
      <name val="Arial"/>
      <family val="2"/>
    </font>
    <font>
      <b/>
      <sz val="10"/>
      <color indexed="12"/>
      <name val="Arial"/>
      <family val="2"/>
    </font>
    <font>
      <sz val="10"/>
      <color rgb="FF0070C0"/>
      <name val="Arial"/>
      <family val="2"/>
    </font>
    <font>
      <b/>
      <sz val="10"/>
      <color rgb="FF0070C0"/>
      <name val="Arial"/>
      <family val="2"/>
    </font>
    <font>
      <sz val="10"/>
      <color theme="9" tint="-0.249977111117893"/>
      <name val="Arial"/>
      <family val="2"/>
    </font>
    <font>
      <b/>
      <sz val="10"/>
      <color theme="9" tint="-0.249977111117893"/>
      <name val="Arial"/>
      <family val="2"/>
    </font>
    <font>
      <sz val="10"/>
      <color rgb="FF0000FF"/>
      <name val="Arial"/>
      <family val="2"/>
    </font>
    <font>
      <b/>
      <sz val="10"/>
      <color rgb="FF0000FF"/>
      <name val="Arial"/>
      <family val="2"/>
    </font>
    <font>
      <sz val="10"/>
      <color rgb="FFFF0000"/>
      <name val="Arial"/>
      <family val="2"/>
    </font>
    <font>
      <b/>
      <sz val="10"/>
      <color rgb="FFFF0000"/>
      <name val="Arial"/>
      <family val="2"/>
    </font>
    <font>
      <sz val="10"/>
      <color indexed="9"/>
      <name val="Arial"/>
      <family val="2"/>
    </font>
    <font>
      <b/>
      <sz val="9"/>
      <color indexed="81"/>
      <name val="Tahoma"/>
      <family val="2"/>
    </font>
    <font>
      <sz val="9"/>
      <color indexed="81"/>
      <name val="Tahoma"/>
      <family val="2"/>
    </font>
    <font>
      <sz val="10"/>
      <name val="Calibri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indexed="45"/>
        <bgColor indexed="64"/>
      </patternFill>
    </fill>
    <fill>
      <patternFill patternType="solid">
        <fgColor rgb="FFCCFF99"/>
        <bgColor indexed="64"/>
      </patternFill>
    </fill>
  </fills>
  <borders count="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</borders>
  <cellStyleXfs count="16">
    <xf numFmtId="0" fontId="0" fillId="0" borderId="0"/>
    <xf numFmtId="0" fontId="2" fillId="0" borderId="0"/>
    <xf numFmtId="166" fontId="2" fillId="0" borderId="0" applyFont="0" applyFill="0" applyBorder="0" applyAlignment="0" applyProtection="0"/>
    <xf numFmtId="9" fontId="2" fillId="0" borderId="0" applyFont="0" applyFill="0" applyBorder="0" applyAlignment="0" applyProtection="0"/>
    <xf numFmtId="166" fontId="2" fillId="0" borderId="0" applyFont="0" applyFill="0" applyBorder="0" applyAlignment="0" applyProtection="0"/>
    <xf numFmtId="166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1" fillId="0" borderId="0"/>
    <xf numFmtId="0" fontId="1" fillId="0" borderId="0"/>
    <xf numFmtId="0" fontId="1" fillId="0" borderId="0"/>
    <xf numFmtId="9" fontId="1" fillId="0" borderId="0" applyFont="0" applyFill="0" applyBorder="0" applyAlignment="0" applyProtection="0"/>
    <xf numFmtId="9" fontId="2" fillId="0" borderId="0" applyFont="0" applyFill="0" applyBorder="0" applyAlignment="0" applyProtection="0"/>
    <xf numFmtId="9" fontId="2" fillId="0" borderId="0" applyFont="0" applyFill="0" applyBorder="0" applyAlignment="0" applyProtection="0"/>
    <xf numFmtId="9" fontId="2" fillId="0" borderId="0" applyFont="0" applyFill="0" applyBorder="0" applyAlignment="0" applyProtection="0"/>
  </cellStyleXfs>
  <cellXfs count="68">
    <xf numFmtId="0" fontId="0" fillId="0" borderId="0" xfId="0"/>
    <xf numFmtId="0" fontId="2" fillId="0" borderId="0" xfId="1" applyFont="1" applyFill="1" applyBorder="1" applyAlignment="1">
      <alignment vertical="center"/>
    </xf>
    <xf numFmtId="165" fontId="2" fillId="0" borderId="0" xfId="1" applyNumberFormat="1" applyFont="1" applyFill="1" applyBorder="1" applyAlignment="1">
      <alignment vertical="center"/>
    </xf>
    <xf numFmtId="0" fontId="2" fillId="4" borderId="2" xfId="1" applyFont="1" applyFill="1" applyBorder="1" applyAlignment="1" applyProtection="1">
      <alignment horizontal="center" vertical="center" wrapText="1"/>
      <protection locked="0"/>
    </xf>
    <xf numFmtId="0" fontId="3" fillId="4" borderId="2" xfId="1" applyFont="1" applyFill="1" applyBorder="1" applyAlignment="1" applyProtection="1">
      <alignment horizontal="center" vertical="center"/>
      <protection locked="0"/>
    </xf>
    <xf numFmtId="0" fontId="3" fillId="4" borderId="2" xfId="1" applyFont="1" applyFill="1" applyBorder="1" applyAlignment="1" applyProtection="1">
      <alignment horizontal="center" vertical="center" wrapText="1"/>
      <protection locked="0"/>
    </xf>
    <xf numFmtId="0" fontId="2" fillId="0" borderId="3" xfId="1" applyFont="1" applyFill="1" applyBorder="1" applyAlignment="1">
      <alignment vertical="center"/>
    </xf>
    <xf numFmtId="0" fontId="3" fillId="4" borderId="1" xfId="1" applyFont="1" applyFill="1" applyBorder="1" applyAlignment="1" applyProtection="1">
      <alignment horizontal="center" vertical="center" wrapText="1"/>
      <protection locked="0"/>
    </xf>
    <xf numFmtId="165" fontId="3" fillId="4" borderId="2" xfId="1" applyNumberFormat="1" applyFont="1" applyFill="1" applyBorder="1" applyAlignment="1" applyProtection="1">
      <alignment horizontal="center" vertical="center" wrapText="1"/>
      <protection locked="0"/>
    </xf>
    <xf numFmtId="0" fontId="3" fillId="0" borderId="3" xfId="1" applyFont="1" applyFill="1" applyBorder="1" applyAlignment="1">
      <alignment vertical="center"/>
    </xf>
    <xf numFmtId="0" fontId="2" fillId="4" borderId="3" xfId="1" applyFont="1" applyFill="1" applyBorder="1"/>
    <xf numFmtId="0" fontId="2" fillId="4" borderId="3" xfId="1" applyFont="1" applyFill="1" applyBorder="1" applyAlignment="1" applyProtection="1">
      <alignment horizontal="center" vertical="center"/>
      <protection locked="0"/>
    </xf>
    <xf numFmtId="0" fontId="3" fillId="4" borderId="3" xfId="1" applyFont="1" applyFill="1" applyBorder="1" applyAlignment="1" applyProtection="1">
      <alignment horizontal="center" vertical="center"/>
      <protection locked="0"/>
    </xf>
    <xf numFmtId="165" fontId="2" fillId="3" borderId="3" xfId="1" applyNumberFormat="1" applyFont="1" applyFill="1" applyBorder="1" applyAlignment="1" applyProtection="1">
      <alignment horizontal="center" vertical="center"/>
      <protection locked="0"/>
    </xf>
    <xf numFmtId="165" fontId="2" fillId="4" borderId="3" xfId="1" applyNumberFormat="1" applyFont="1" applyFill="1" applyBorder="1" applyAlignment="1" applyProtection="1">
      <alignment horizontal="center" vertical="center"/>
      <protection locked="0"/>
    </xf>
    <xf numFmtId="165" fontId="2" fillId="0" borderId="3" xfId="1" applyNumberFormat="1" applyFont="1" applyFill="1" applyBorder="1" applyAlignment="1">
      <alignment vertical="center"/>
    </xf>
    <xf numFmtId="9" fontId="2" fillId="0" borderId="3" xfId="3" applyFont="1" applyFill="1" applyBorder="1" applyAlignment="1">
      <alignment vertical="center"/>
    </xf>
    <xf numFmtId="165" fontId="2" fillId="0" borderId="3" xfId="1" applyNumberFormat="1" applyFont="1" applyFill="1" applyBorder="1" applyAlignment="1">
      <alignment horizontal="center" vertical="center"/>
    </xf>
    <xf numFmtId="0" fontId="2" fillId="0" borderId="3" xfId="1" applyBorder="1" applyAlignment="1">
      <alignment horizontal="left"/>
    </xf>
    <xf numFmtId="164" fontId="2" fillId="0" borderId="3" xfId="1" applyNumberFormat="1" applyBorder="1" applyAlignment="1">
      <alignment horizontal="center" vertical="center"/>
    </xf>
    <xf numFmtId="165" fontId="2" fillId="4" borderId="3" xfId="1" applyNumberFormat="1" applyFont="1" applyFill="1" applyBorder="1" applyAlignment="1">
      <alignment horizontal="center" vertical="center"/>
    </xf>
    <xf numFmtId="0" fontId="2" fillId="4" borderId="3" xfId="1" applyFill="1" applyBorder="1"/>
    <xf numFmtId="0" fontId="5" fillId="4" borderId="3" xfId="1" applyFont="1" applyFill="1" applyBorder="1"/>
    <xf numFmtId="0" fontId="5" fillId="4" borderId="3" xfId="1" applyFont="1" applyFill="1" applyBorder="1" applyAlignment="1" applyProtection="1">
      <alignment horizontal="center" vertical="center"/>
      <protection locked="0"/>
    </xf>
    <xf numFmtId="0" fontId="6" fillId="4" borderId="3" xfId="1" applyFont="1" applyFill="1" applyBorder="1" applyAlignment="1" applyProtection="1">
      <alignment horizontal="center" vertical="center"/>
      <protection locked="0"/>
    </xf>
    <xf numFmtId="0" fontId="5" fillId="0" borderId="3" xfId="1" applyFont="1" applyFill="1" applyBorder="1" applyAlignment="1">
      <alignment vertical="center"/>
    </xf>
    <xf numFmtId="165" fontId="5" fillId="4" borderId="3" xfId="1" applyNumberFormat="1" applyFont="1" applyFill="1" applyBorder="1" applyAlignment="1" applyProtection="1">
      <alignment horizontal="center" vertical="center"/>
      <protection locked="0"/>
    </xf>
    <xf numFmtId="0" fontId="4" fillId="0" borderId="3" xfId="1" applyFont="1" applyFill="1" applyBorder="1" applyAlignment="1">
      <alignment vertical="center"/>
    </xf>
    <xf numFmtId="0" fontId="6" fillId="0" borderId="3" xfId="1" applyFont="1" applyFill="1" applyBorder="1" applyAlignment="1">
      <alignment vertical="center"/>
    </xf>
    <xf numFmtId="0" fontId="7" fillId="4" borderId="3" xfId="1" applyFont="1" applyFill="1" applyBorder="1"/>
    <xf numFmtId="0" fontId="7" fillId="4" borderId="3" xfId="1" applyFont="1" applyFill="1" applyBorder="1" applyAlignment="1" applyProtection="1">
      <alignment horizontal="center" vertical="center"/>
      <protection locked="0"/>
    </xf>
    <xf numFmtId="0" fontId="8" fillId="4" borderId="3" xfId="1" applyFont="1" applyFill="1" applyBorder="1" applyAlignment="1" applyProtection="1">
      <alignment horizontal="center" vertical="center"/>
      <protection locked="0"/>
    </xf>
    <xf numFmtId="165" fontId="8" fillId="3" borderId="3" xfId="1" applyNumberFormat="1" applyFont="1" applyFill="1" applyBorder="1" applyAlignment="1" applyProtection="1">
      <alignment horizontal="center" vertical="center"/>
      <protection locked="0"/>
    </xf>
    <xf numFmtId="165" fontId="7" fillId="4" borderId="3" xfId="1" applyNumberFormat="1" applyFont="1" applyFill="1" applyBorder="1" applyAlignment="1">
      <alignment horizontal="center" vertical="center"/>
    </xf>
    <xf numFmtId="0" fontId="8" fillId="0" borderId="3" xfId="1" applyFont="1" applyFill="1" applyBorder="1" applyAlignment="1">
      <alignment vertical="center"/>
    </xf>
    <xf numFmtId="0" fontId="7" fillId="0" borderId="3" xfId="1" applyFont="1" applyFill="1" applyBorder="1" applyAlignment="1">
      <alignment vertical="center"/>
    </xf>
    <xf numFmtId="165" fontId="7" fillId="4" borderId="3" xfId="1" applyNumberFormat="1" applyFont="1" applyFill="1" applyBorder="1" applyAlignment="1" applyProtection="1">
      <alignment horizontal="center" vertical="center"/>
      <protection locked="0"/>
    </xf>
    <xf numFmtId="165" fontId="3" fillId="4" borderId="3" xfId="1" applyNumberFormat="1" applyFont="1" applyFill="1" applyBorder="1" applyAlignment="1" applyProtection="1">
      <alignment horizontal="center" vertical="center"/>
      <protection locked="0"/>
    </xf>
    <xf numFmtId="0" fontId="2" fillId="2" borderId="3" xfId="1" applyFont="1" applyFill="1" applyBorder="1"/>
    <xf numFmtId="0" fontId="2" fillId="2" borderId="3" xfId="1" applyFont="1" applyFill="1" applyBorder="1" applyAlignment="1" applyProtection="1">
      <alignment horizontal="center" vertical="center"/>
      <protection locked="0"/>
    </xf>
    <xf numFmtId="0" fontId="3" fillId="2" borderId="3" xfId="1" applyFont="1" applyFill="1" applyBorder="1" applyAlignment="1" applyProtection="1">
      <alignment horizontal="center" vertical="center"/>
      <protection locked="0"/>
    </xf>
    <xf numFmtId="165" fontId="2" fillId="2" borderId="3" xfId="1" applyNumberFormat="1" applyFont="1" applyFill="1" applyBorder="1" applyAlignment="1" applyProtection="1">
      <alignment horizontal="center" vertical="center"/>
      <protection locked="0"/>
    </xf>
    <xf numFmtId="0" fontId="2" fillId="2" borderId="3" xfId="1" applyFont="1" applyFill="1" applyBorder="1" applyAlignment="1">
      <alignment vertical="center"/>
    </xf>
    <xf numFmtId="0" fontId="2" fillId="0" borderId="3" xfId="1" applyFont="1" applyBorder="1" applyAlignment="1">
      <alignment horizontal="left"/>
    </xf>
    <xf numFmtId="0" fontId="2" fillId="0" borderId="4" xfId="1" applyBorder="1" applyAlignment="1">
      <alignment horizontal="left"/>
    </xf>
    <xf numFmtId="164" fontId="2" fillId="0" borderId="4" xfId="1" applyNumberFormat="1" applyBorder="1" applyAlignment="1">
      <alignment horizontal="center" vertical="center"/>
    </xf>
    <xf numFmtId="165" fontId="8" fillId="4" borderId="3" xfId="1" applyNumberFormat="1" applyFont="1" applyFill="1" applyBorder="1" applyAlignment="1" applyProtection="1">
      <alignment horizontal="center" vertical="center"/>
      <protection locked="0"/>
    </xf>
    <xf numFmtId="0" fontId="11" fillId="4" borderId="3" xfId="1" applyFont="1" applyFill="1" applyBorder="1"/>
    <xf numFmtId="0" fontId="11" fillId="4" borderId="3" xfId="1" applyFont="1" applyFill="1" applyBorder="1" applyAlignment="1" applyProtection="1">
      <alignment horizontal="center" vertical="center"/>
      <protection locked="0"/>
    </xf>
    <xf numFmtId="0" fontId="12" fillId="4" borderId="3" xfId="1" applyFont="1" applyFill="1" applyBorder="1" applyAlignment="1" applyProtection="1">
      <alignment horizontal="center" vertical="center"/>
      <protection locked="0"/>
    </xf>
    <xf numFmtId="165" fontId="11" fillId="4" borderId="3" xfId="1" applyNumberFormat="1" applyFont="1" applyFill="1" applyBorder="1" applyAlignment="1" applyProtection="1">
      <alignment horizontal="center" vertical="center"/>
      <protection locked="0"/>
    </xf>
    <xf numFmtId="0" fontId="11" fillId="2" borderId="3" xfId="1" applyFont="1" applyFill="1" applyBorder="1" applyAlignment="1">
      <alignment vertical="center"/>
    </xf>
    <xf numFmtId="0" fontId="9" fillId="4" borderId="3" xfId="1" applyFont="1" applyFill="1" applyBorder="1"/>
    <xf numFmtId="0" fontId="9" fillId="4" borderId="3" xfId="1" applyFont="1" applyFill="1" applyBorder="1" applyAlignment="1" applyProtection="1">
      <alignment horizontal="center" vertical="center"/>
      <protection locked="0"/>
    </xf>
    <xf numFmtId="0" fontId="10" fillId="4" borderId="3" xfId="1" applyFont="1" applyFill="1" applyBorder="1" applyAlignment="1" applyProtection="1">
      <alignment horizontal="center" vertical="center"/>
      <protection locked="0"/>
    </xf>
    <xf numFmtId="165" fontId="9" fillId="4" borderId="3" xfId="1" applyNumberFormat="1" applyFont="1" applyFill="1" applyBorder="1" applyAlignment="1" applyProtection="1">
      <alignment horizontal="center" vertical="center"/>
      <protection locked="0"/>
    </xf>
    <xf numFmtId="0" fontId="9" fillId="0" borderId="3" xfId="1" applyFont="1" applyFill="1" applyBorder="1" applyAlignment="1">
      <alignment vertical="center"/>
    </xf>
    <xf numFmtId="0" fontId="13" fillId="0" borderId="3" xfId="1" applyFont="1" applyFill="1" applyBorder="1" applyAlignment="1">
      <alignment vertical="center"/>
    </xf>
    <xf numFmtId="0" fontId="8" fillId="4" borderId="3" xfId="1" applyFont="1" applyFill="1" applyBorder="1"/>
    <xf numFmtId="165" fontId="8" fillId="4" borderId="3" xfId="1" applyNumberFormat="1" applyFont="1" applyFill="1" applyBorder="1" applyAlignment="1">
      <alignment horizontal="center" vertical="center"/>
    </xf>
    <xf numFmtId="0" fontId="2" fillId="0" borderId="0" xfId="1" applyFont="1" applyBorder="1" applyAlignment="1">
      <alignment vertical="center"/>
    </xf>
    <xf numFmtId="1" fontId="16" fillId="0" borderId="0" xfId="1" applyNumberFormat="1" applyFont="1"/>
    <xf numFmtId="0" fontId="16" fillId="0" borderId="0" xfId="1" applyFont="1"/>
    <xf numFmtId="2" fontId="16" fillId="0" borderId="0" xfId="1" applyNumberFormat="1" applyFont="1"/>
    <xf numFmtId="14" fontId="0" fillId="0" borderId="0" xfId="0" applyNumberFormat="1"/>
    <xf numFmtId="167" fontId="0" fillId="0" borderId="0" xfId="0" applyNumberFormat="1"/>
    <xf numFmtId="165" fontId="3" fillId="4" borderId="3" xfId="1" applyNumberFormat="1" applyFont="1" applyFill="1" applyBorder="1" applyAlignment="1" applyProtection="1">
      <alignment horizontal="center" vertical="center" wrapText="1"/>
      <protection locked="0"/>
    </xf>
    <xf numFmtId="167" fontId="3" fillId="4" borderId="3" xfId="1" applyNumberFormat="1" applyFont="1" applyFill="1" applyBorder="1" applyAlignment="1" applyProtection="1">
      <alignment horizontal="center" vertical="center" wrapText="1"/>
      <protection locked="0"/>
    </xf>
  </cellXfs>
  <cellStyles count="16">
    <cellStyle name="Comma 2" xfId="2"/>
    <cellStyle name="Milliers 2" xfId="4"/>
    <cellStyle name="Milliers 3" xfId="5"/>
    <cellStyle name="Normal" xfId="0" builtinId="0"/>
    <cellStyle name="Normal 10 3 4 3" xfId="6"/>
    <cellStyle name="Normal 2" xfId="1"/>
    <cellStyle name="Normal 2 2" xfId="7"/>
    <cellStyle name="Normal 3" xfId="8"/>
    <cellStyle name="Normal 4" xfId="9"/>
    <cellStyle name="Normal 5" xfId="10"/>
    <cellStyle name="Normal 5 2" xfId="11"/>
    <cellStyle name="Percent 2" xfId="3"/>
    <cellStyle name="Percent 2 2" xfId="12"/>
    <cellStyle name="Pourcentage 2" xfId="13"/>
    <cellStyle name="Pourcentage 2 2" xfId="14"/>
    <cellStyle name="Pourcentage 3" xfId="15"/>
  </cellStyles>
  <dxfs count="6">
    <dxf>
      <font>
        <color theme="0"/>
      </font>
      <fill>
        <patternFill>
          <bgColor rgb="FF00B050"/>
        </patternFill>
      </fill>
      <border>
        <left style="thin">
          <color auto="1"/>
        </left>
        <right style="thin">
          <color auto="1"/>
        </right>
      </border>
    </dxf>
    <dxf>
      <font>
        <color theme="0"/>
      </font>
      <fill>
        <patternFill>
          <bgColor rgb="FFC00000"/>
        </patternFill>
      </fill>
      <border>
        <left style="thin">
          <color auto="1"/>
        </left>
        <right style="thin">
          <color auto="1"/>
        </right>
      </border>
    </dxf>
    <dxf>
      <font>
        <color theme="0"/>
      </font>
      <fill>
        <patternFill>
          <bgColor rgb="FF00B050"/>
        </patternFill>
      </fill>
      <border>
        <left style="thin">
          <color auto="1"/>
        </left>
        <right style="thin">
          <color auto="1"/>
        </right>
      </border>
    </dxf>
    <dxf>
      <font>
        <condense val="0"/>
        <extend val="0"/>
        <color rgb="FF9C0006"/>
      </font>
      <fill>
        <patternFill>
          <bgColor rgb="FFFFC7CE"/>
        </patternFill>
      </fill>
      <border>
        <left style="thin">
          <color auto="1"/>
        </left>
        <right style="thin">
          <color auto="1"/>
        </right>
      </border>
    </dxf>
    <dxf>
      <font>
        <condense val="0"/>
        <extend val="0"/>
        <color rgb="FF9C0006"/>
      </font>
      <fill>
        <patternFill>
          <bgColor rgb="FFFFC7CE"/>
        </patternFill>
      </fill>
      <border>
        <left style="thin">
          <color auto="1"/>
        </left>
        <right style="thin">
          <color auto="1"/>
        </right>
      </border>
    </dxf>
    <dxf>
      <font>
        <b/>
        <i val="0"/>
        <condense val="0"/>
        <extend val="0"/>
        <color indexed="10"/>
      </font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externalLink" Target="externalLinks/externalLink1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C:\Users\ggeorge\Documents\Projects\Technical%20Data\GOP\PM%20Link_Changi.xlsx" TargetMode="External"/></Relationships>
</file>

<file path=xl/externalLinks/externalLink1.xml><?xml version="1.0" encoding="utf-8"?>
<externalLink xmlns="http://schemas.openxmlformats.org/spreadsheetml/2006/main">
  <externalBook xmlns:r="http://schemas.openxmlformats.org/officeDocument/2006/relationships" r:id="rId1">
    <sheetNames>
      <sheetName val="Aurocyanure"/>
      <sheetName val="Palladium"/>
      <sheetName val="Silver - Ag"/>
      <sheetName val="MODELE 2015"/>
      <sheetName val="waste 2014 "/>
      <sheetName val="ARAS"/>
      <sheetName val="Scrap"/>
      <sheetName val="MFGPro"/>
      <sheetName val="VOLUMES"/>
      <sheetName val="Focus Spot"/>
      <sheetName val="Tableau YTD 2012"/>
      <sheetName val="EQ"/>
      <sheetName val="Sheet1"/>
      <sheetName val="GOP'sept 14"/>
      <sheetName val="Sheet2"/>
      <sheetName val="B.O"/>
    </sheetNames>
    <sheetDataSet>
      <sheetData sheetId="0"/>
      <sheetData sheetId="1"/>
      <sheetData sheetId="2"/>
      <sheetData sheetId="3"/>
      <sheetData sheetId="4"/>
      <sheetData sheetId="5"/>
      <sheetData sheetId="6">
        <row r="3">
          <cell r="A3" t="str">
            <v>Parent Item (BOM)</v>
          </cell>
          <cell r="B3" t="str">
            <v>Scrap Percentage (BOM)</v>
          </cell>
          <cell r="C3" t="str">
            <v>Component Item (BOM)</v>
          </cell>
          <cell r="D3" t="str">
            <v>End Effective Date (BOM)</v>
          </cell>
          <cell r="E3" t="str">
            <v>Today (EST)</v>
          </cell>
        </row>
        <row r="4">
          <cell r="A4" t="str">
            <v>70100202AG1</v>
          </cell>
          <cell r="B4">
            <v>0.25</v>
          </cell>
          <cell r="C4" t="str">
            <v>70100202AI1</v>
          </cell>
          <cell r="D4">
            <v>94600</v>
          </cell>
          <cell r="E4" t="str">
            <v>23/09/2013</v>
          </cell>
        </row>
        <row r="5">
          <cell r="A5" t="str">
            <v>70100202AI1</v>
          </cell>
          <cell r="B5">
            <v>0.35</v>
          </cell>
          <cell r="C5" t="str">
            <v>70100202AL1</v>
          </cell>
          <cell r="D5">
            <v>94600</v>
          </cell>
          <cell r="E5" t="str">
            <v>23/09/2013</v>
          </cell>
        </row>
        <row r="6">
          <cell r="A6" t="str">
            <v>70100202AM1</v>
          </cell>
          <cell r="B6">
            <v>1.43</v>
          </cell>
          <cell r="C6" t="str">
            <v>70100202AG1</v>
          </cell>
          <cell r="D6">
            <v>94600</v>
          </cell>
          <cell r="E6" t="str">
            <v>23/09/2013</v>
          </cell>
        </row>
        <row r="7">
          <cell r="A7" t="str">
            <v>70100301AG1</v>
          </cell>
          <cell r="B7">
            <v>0.18</v>
          </cell>
          <cell r="C7" t="str">
            <v>70100301AI1</v>
          </cell>
          <cell r="D7">
            <v>94600</v>
          </cell>
          <cell r="E7" t="str">
            <v>23/09/2013</v>
          </cell>
        </row>
        <row r="8">
          <cell r="A8" t="str">
            <v>70100301AI1</v>
          </cell>
          <cell r="B8">
            <v>0.45</v>
          </cell>
          <cell r="C8" t="str">
            <v>7X23206DAL1</v>
          </cell>
          <cell r="D8">
            <v>94600</v>
          </cell>
          <cell r="E8" t="str">
            <v>23/09/2013</v>
          </cell>
        </row>
        <row r="9">
          <cell r="A9" t="str">
            <v>70100301AM1</v>
          </cell>
          <cell r="B9">
            <v>1.54</v>
          </cell>
          <cell r="C9" t="str">
            <v>70100301AG1</v>
          </cell>
          <cell r="D9">
            <v>94600</v>
          </cell>
          <cell r="E9" t="str">
            <v>23/09/2013</v>
          </cell>
        </row>
        <row r="10">
          <cell r="A10" t="str">
            <v>70100301BM1</v>
          </cell>
          <cell r="B10">
            <v>1.54</v>
          </cell>
          <cell r="C10" t="str">
            <v>70100301AG1</v>
          </cell>
          <cell r="D10">
            <v>94600</v>
          </cell>
          <cell r="E10" t="str">
            <v>23/09/2013</v>
          </cell>
        </row>
        <row r="11">
          <cell r="A11" t="str">
            <v>70100401AG1</v>
          </cell>
          <cell r="B11">
            <v>0.18</v>
          </cell>
          <cell r="C11" t="str">
            <v>70100401AI1</v>
          </cell>
          <cell r="D11">
            <v>94600</v>
          </cell>
          <cell r="E11" t="str">
            <v>23/09/2013</v>
          </cell>
        </row>
        <row r="12">
          <cell r="A12" t="str">
            <v>70100401AI1</v>
          </cell>
          <cell r="B12">
            <v>0.45</v>
          </cell>
          <cell r="C12" t="str">
            <v>70100401AL1</v>
          </cell>
          <cell r="D12">
            <v>94600</v>
          </cell>
          <cell r="E12" t="str">
            <v>23/09/2013</v>
          </cell>
        </row>
        <row r="13">
          <cell r="A13" t="str">
            <v>70100401AM1</v>
          </cell>
          <cell r="B13">
            <v>1.54</v>
          </cell>
          <cell r="C13" t="str">
            <v>70100401AG1</v>
          </cell>
          <cell r="D13">
            <v>94600</v>
          </cell>
          <cell r="E13" t="str">
            <v>23/09/2013</v>
          </cell>
        </row>
        <row r="14">
          <cell r="A14" t="str">
            <v>70100401BG1</v>
          </cell>
          <cell r="B14">
            <v>0.18</v>
          </cell>
          <cell r="C14" t="str">
            <v>70100401BI1</v>
          </cell>
          <cell r="D14">
            <v>94600</v>
          </cell>
          <cell r="E14" t="str">
            <v>23/09/2013</v>
          </cell>
        </row>
        <row r="15">
          <cell r="A15" t="str">
            <v>70100401BI1</v>
          </cell>
          <cell r="B15">
            <v>0.45</v>
          </cell>
          <cell r="C15" t="str">
            <v>70100401BL1</v>
          </cell>
          <cell r="D15">
            <v>94600</v>
          </cell>
          <cell r="E15" t="str">
            <v>23/09/2013</v>
          </cell>
        </row>
        <row r="16">
          <cell r="A16" t="str">
            <v>70100401BM1</v>
          </cell>
          <cell r="B16">
            <v>1.54</v>
          </cell>
          <cell r="C16" t="str">
            <v>70100401BG1</v>
          </cell>
          <cell r="D16">
            <v>94600</v>
          </cell>
          <cell r="E16" t="str">
            <v>23/09/2013</v>
          </cell>
        </row>
        <row r="17">
          <cell r="A17" t="str">
            <v>70100401CM1</v>
          </cell>
          <cell r="B17">
            <v>1.54</v>
          </cell>
          <cell r="C17" t="str">
            <v>70100401BG1</v>
          </cell>
          <cell r="D17">
            <v>94600</v>
          </cell>
          <cell r="E17" t="str">
            <v>23/09/2013</v>
          </cell>
        </row>
        <row r="18">
          <cell r="A18" t="str">
            <v>70100401DM1</v>
          </cell>
          <cell r="B18">
            <v>2.1</v>
          </cell>
          <cell r="C18" t="str">
            <v>70100401BG1</v>
          </cell>
          <cell r="D18">
            <v>94600</v>
          </cell>
          <cell r="E18" t="str">
            <v>23/09/2013</v>
          </cell>
        </row>
        <row r="19">
          <cell r="A19" t="str">
            <v>70100401EG1</v>
          </cell>
          <cell r="B19">
            <v>0.25</v>
          </cell>
          <cell r="C19" t="str">
            <v>70100401EI1</v>
          </cell>
          <cell r="D19">
            <v>94600</v>
          </cell>
          <cell r="E19" t="str">
            <v>23/09/2013</v>
          </cell>
        </row>
        <row r="20">
          <cell r="A20" t="str">
            <v>70100401EI1</v>
          </cell>
          <cell r="B20">
            <v>0.35</v>
          </cell>
          <cell r="C20" t="str">
            <v>70100401EL1</v>
          </cell>
          <cell r="D20">
            <v>94600</v>
          </cell>
          <cell r="E20" t="str">
            <v>23/09/2013</v>
          </cell>
        </row>
        <row r="21">
          <cell r="A21" t="str">
            <v>70100401EM1</v>
          </cell>
          <cell r="B21">
            <v>1.43</v>
          </cell>
          <cell r="C21" t="str">
            <v>70100401EG1</v>
          </cell>
          <cell r="D21">
            <v>94600</v>
          </cell>
          <cell r="E21" t="str">
            <v>23/09/2013</v>
          </cell>
        </row>
        <row r="22">
          <cell r="A22" t="str">
            <v>70100401FM1</v>
          </cell>
          <cell r="B22">
            <v>2.1</v>
          </cell>
          <cell r="C22" t="str">
            <v>70100401BG1</v>
          </cell>
          <cell r="D22">
            <v>94600</v>
          </cell>
          <cell r="E22" t="str">
            <v>23/09/2013</v>
          </cell>
        </row>
        <row r="23">
          <cell r="A23" t="str">
            <v>70100601AG1</v>
          </cell>
          <cell r="B23">
            <v>0.9</v>
          </cell>
          <cell r="C23" t="str">
            <v>70100601AI1</v>
          </cell>
          <cell r="D23">
            <v>94600</v>
          </cell>
          <cell r="E23" t="str">
            <v>23/09/2013</v>
          </cell>
        </row>
        <row r="24">
          <cell r="A24" t="str">
            <v>70100601AI1</v>
          </cell>
          <cell r="B24">
            <v>0</v>
          </cell>
          <cell r="C24" t="str">
            <v>7X12107FBL1</v>
          </cell>
          <cell r="D24">
            <v>94600</v>
          </cell>
          <cell r="E24" t="str">
            <v>23/09/2013</v>
          </cell>
        </row>
        <row r="25">
          <cell r="A25" t="str">
            <v>70100601AM1</v>
          </cell>
          <cell r="B25">
            <v>2.1</v>
          </cell>
          <cell r="C25" t="str">
            <v>70100601AG1</v>
          </cell>
          <cell r="D25">
            <v>94600</v>
          </cell>
          <cell r="E25" t="str">
            <v>23/09/2013</v>
          </cell>
        </row>
        <row r="26">
          <cell r="A26" t="str">
            <v>70100601BM1</v>
          </cell>
          <cell r="B26">
            <v>1.1000000000000001</v>
          </cell>
          <cell r="C26" t="str">
            <v>70100601AG1</v>
          </cell>
          <cell r="D26">
            <v>94600</v>
          </cell>
          <cell r="E26" t="str">
            <v>23/09/2013</v>
          </cell>
        </row>
        <row r="27">
          <cell r="A27" t="str">
            <v>70100601CG1</v>
          </cell>
          <cell r="B27">
            <v>0.25</v>
          </cell>
          <cell r="C27" t="str">
            <v>70100601CI1</v>
          </cell>
          <cell r="D27">
            <v>94600</v>
          </cell>
          <cell r="E27" t="str">
            <v>23/09/2013</v>
          </cell>
        </row>
        <row r="28">
          <cell r="A28" t="str">
            <v>70100601CI1</v>
          </cell>
          <cell r="B28">
            <v>0.35</v>
          </cell>
          <cell r="C28" t="str">
            <v>7X12106KAL1</v>
          </cell>
          <cell r="D28">
            <v>94600</v>
          </cell>
          <cell r="E28" t="str">
            <v>23/09/2013</v>
          </cell>
        </row>
        <row r="29">
          <cell r="A29" t="str">
            <v>70100601CM1</v>
          </cell>
          <cell r="B29">
            <v>1.43</v>
          </cell>
          <cell r="C29" t="str">
            <v>70100601CG1</v>
          </cell>
          <cell r="D29">
            <v>94600</v>
          </cell>
          <cell r="E29" t="str">
            <v>23/09/2013</v>
          </cell>
        </row>
        <row r="30">
          <cell r="A30" t="str">
            <v>70101401AG1</v>
          </cell>
          <cell r="B30">
            <v>0.18</v>
          </cell>
          <cell r="C30" t="str">
            <v>70101401AI1</v>
          </cell>
          <cell r="D30">
            <v>94600</v>
          </cell>
          <cell r="E30" t="str">
            <v>23/09/2013</v>
          </cell>
        </row>
        <row r="31">
          <cell r="A31" t="str">
            <v>70101401AI1</v>
          </cell>
          <cell r="B31">
            <v>0.45</v>
          </cell>
          <cell r="C31" t="str">
            <v>70642006AL1</v>
          </cell>
          <cell r="D31">
            <v>94600</v>
          </cell>
          <cell r="E31" t="str">
            <v>23/09/2013</v>
          </cell>
        </row>
        <row r="32">
          <cell r="A32" t="str">
            <v>70101401AM1</v>
          </cell>
          <cell r="B32">
            <v>1.54</v>
          </cell>
          <cell r="C32" t="str">
            <v>70101401AG1</v>
          </cell>
          <cell r="D32">
            <v>94600</v>
          </cell>
          <cell r="E32" t="str">
            <v>23/09/2013</v>
          </cell>
        </row>
        <row r="33">
          <cell r="A33" t="str">
            <v>70110401AG1</v>
          </cell>
          <cell r="B33">
            <v>0.25</v>
          </cell>
          <cell r="C33" t="str">
            <v>70110401AI1</v>
          </cell>
          <cell r="D33">
            <v>94600</v>
          </cell>
          <cell r="E33" t="str">
            <v>23/09/2013</v>
          </cell>
        </row>
        <row r="34">
          <cell r="A34" t="str">
            <v>70110401AI1</v>
          </cell>
          <cell r="B34">
            <v>0.35</v>
          </cell>
          <cell r="C34" t="str">
            <v>7X23206DAL1</v>
          </cell>
          <cell r="D34">
            <v>94600</v>
          </cell>
          <cell r="E34" t="str">
            <v>23/09/2013</v>
          </cell>
        </row>
        <row r="35">
          <cell r="A35" t="str">
            <v>70110401AM1</v>
          </cell>
          <cell r="B35">
            <v>1.54</v>
          </cell>
          <cell r="C35" t="str">
            <v>70110401AG1</v>
          </cell>
          <cell r="D35">
            <v>94600</v>
          </cell>
          <cell r="E35" t="str">
            <v>23/09/2013</v>
          </cell>
        </row>
        <row r="36">
          <cell r="A36" t="str">
            <v>70110401BM1</v>
          </cell>
          <cell r="B36">
            <v>2.1</v>
          </cell>
          <cell r="C36" t="str">
            <v>70110401AG1</v>
          </cell>
          <cell r="D36">
            <v>94600</v>
          </cell>
          <cell r="E36" t="str">
            <v>23/09/2013</v>
          </cell>
        </row>
        <row r="37">
          <cell r="A37" t="str">
            <v>70110401CM1</v>
          </cell>
          <cell r="B37">
            <v>2.7</v>
          </cell>
          <cell r="C37" t="str">
            <v>70110401AG1</v>
          </cell>
          <cell r="D37">
            <v>94600</v>
          </cell>
          <cell r="E37" t="str">
            <v>23/09/2013</v>
          </cell>
        </row>
        <row r="38">
          <cell r="A38" t="str">
            <v>70110401DM1</v>
          </cell>
          <cell r="B38">
            <v>1.43</v>
          </cell>
          <cell r="C38" t="str">
            <v>70110401AG1</v>
          </cell>
          <cell r="D38">
            <v>94600</v>
          </cell>
          <cell r="E38" t="str">
            <v>23/09/2013</v>
          </cell>
        </row>
        <row r="39">
          <cell r="A39" t="str">
            <v>70110802AG1</v>
          </cell>
          <cell r="B39">
            <v>0.4</v>
          </cell>
          <cell r="C39" t="str">
            <v>70110802AI1</v>
          </cell>
          <cell r="D39">
            <v>94600</v>
          </cell>
          <cell r="E39" t="str">
            <v>23/09/2013</v>
          </cell>
        </row>
        <row r="40">
          <cell r="A40" t="str">
            <v>70110802AI1</v>
          </cell>
          <cell r="B40">
            <v>0.97</v>
          </cell>
          <cell r="C40" t="str">
            <v>70110802AL1</v>
          </cell>
          <cell r="D40">
            <v>94600</v>
          </cell>
          <cell r="E40" t="str">
            <v>23/09/2013</v>
          </cell>
        </row>
        <row r="41">
          <cell r="A41" t="str">
            <v>70110802AM1</v>
          </cell>
          <cell r="B41">
            <v>2.14</v>
          </cell>
          <cell r="C41" t="str">
            <v>70110802AG1</v>
          </cell>
          <cell r="D41">
            <v>94600</v>
          </cell>
          <cell r="E41" t="str">
            <v>23/09/2013</v>
          </cell>
        </row>
        <row r="42">
          <cell r="A42" t="str">
            <v>70111101AG1</v>
          </cell>
          <cell r="B42">
            <v>0.4</v>
          </cell>
          <cell r="C42" t="str">
            <v>70111101AI1</v>
          </cell>
          <cell r="D42">
            <v>94600</v>
          </cell>
          <cell r="E42" t="str">
            <v>23/09/2013</v>
          </cell>
        </row>
        <row r="43">
          <cell r="A43" t="str">
            <v>70111101AI1</v>
          </cell>
          <cell r="B43">
            <v>0.97</v>
          </cell>
          <cell r="C43" t="str">
            <v>70111101AL1</v>
          </cell>
          <cell r="D43">
            <v>94600</v>
          </cell>
          <cell r="E43" t="str">
            <v>23/09/2013</v>
          </cell>
        </row>
        <row r="44">
          <cell r="A44" t="str">
            <v>70111101AM1</v>
          </cell>
          <cell r="B44">
            <v>2.14</v>
          </cell>
          <cell r="C44" t="str">
            <v>70111101AG1</v>
          </cell>
          <cell r="D44">
            <v>94600</v>
          </cell>
          <cell r="E44" t="str">
            <v>23/09/2013</v>
          </cell>
        </row>
        <row r="45">
          <cell r="A45" t="str">
            <v>70161602AG1</v>
          </cell>
          <cell r="B45">
            <v>0.4</v>
          </cell>
          <cell r="C45" t="str">
            <v>70161602AI1</v>
          </cell>
          <cell r="D45">
            <v>94600</v>
          </cell>
          <cell r="E45" t="str">
            <v>23/09/2013</v>
          </cell>
        </row>
        <row r="46">
          <cell r="A46" t="str">
            <v>70161602AI1</v>
          </cell>
          <cell r="B46">
            <v>0.97</v>
          </cell>
          <cell r="C46" t="str">
            <v>7X33207AAL1</v>
          </cell>
          <cell r="D46">
            <v>94600</v>
          </cell>
          <cell r="E46" t="str">
            <v>23/09/2013</v>
          </cell>
        </row>
        <row r="47">
          <cell r="A47" t="str">
            <v>70161602AM1</v>
          </cell>
          <cell r="B47">
            <v>2.14</v>
          </cell>
          <cell r="C47" t="str">
            <v>70161602AG1</v>
          </cell>
          <cell r="D47">
            <v>94600</v>
          </cell>
          <cell r="E47" t="str">
            <v>23/09/2013</v>
          </cell>
        </row>
        <row r="48">
          <cell r="A48" t="str">
            <v>70250203AG1</v>
          </cell>
          <cell r="B48">
            <v>0.4</v>
          </cell>
          <cell r="C48" t="str">
            <v>70250203AI1</v>
          </cell>
          <cell r="D48">
            <v>94600</v>
          </cell>
          <cell r="E48" t="str">
            <v>23/09/2013</v>
          </cell>
        </row>
        <row r="49">
          <cell r="A49" t="str">
            <v>70250203AI1</v>
          </cell>
          <cell r="B49">
            <v>0.97</v>
          </cell>
          <cell r="C49" t="str">
            <v>70250202AL1</v>
          </cell>
          <cell r="D49">
            <v>94600</v>
          </cell>
          <cell r="E49" t="str">
            <v>23/09/2013</v>
          </cell>
        </row>
        <row r="50">
          <cell r="A50" t="str">
            <v>70250203BM1</v>
          </cell>
          <cell r="B50">
            <v>2.14</v>
          </cell>
          <cell r="C50" t="str">
            <v>70250203AG1</v>
          </cell>
          <cell r="D50">
            <v>94600</v>
          </cell>
          <cell r="E50" t="str">
            <v>23/09/2013</v>
          </cell>
        </row>
        <row r="51">
          <cell r="A51" t="str">
            <v>70250301AG1</v>
          </cell>
          <cell r="B51">
            <v>0.25</v>
          </cell>
          <cell r="C51" t="str">
            <v>70250301AI1</v>
          </cell>
          <cell r="D51">
            <v>94600</v>
          </cell>
          <cell r="E51" t="str">
            <v>23/09/2013</v>
          </cell>
        </row>
        <row r="52">
          <cell r="A52" t="str">
            <v>70250301AI1</v>
          </cell>
          <cell r="B52">
            <v>0.35</v>
          </cell>
          <cell r="C52" t="str">
            <v>70250301AL1</v>
          </cell>
          <cell r="D52">
            <v>94600</v>
          </cell>
          <cell r="E52" t="str">
            <v>23/09/2013</v>
          </cell>
        </row>
        <row r="53">
          <cell r="A53" t="str">
            <v>70250301AM1</v>
          </cell>
          <cell r="B53">
            <v>1.43</v>
          </cell>
          <cell r="C53" t="str">
            <v>70250301AG1</v>
          </cell>
          <cell r="D53">
            <v>94600</v>
          </cell>
          <cell r="E53" t="str">
            <v>23/09/2013</v>
          </cell>
        </row>
        <row r="54">
          <cell r="A54" t="str">
            <v>70250301CM1</v>
          </cell>
          <cell r="B54">
            <v>1.43</v>
          </cell>
          <cell r="C54" t="str">
            <v>70250301AG1</v>
          </cell>
          <cell r="D54">
            <v>94600</v>
          </cell>
          <cell r="E54" t="str">
            <v>23/09/2013</v>
          </cell>
        </row>
        <row r="55">
          <cell r="A55" t="str">
            <v>70250501AG1</v>
          </cell>
          <cell r="B55">
            <v>0.2</v>
          </cell>
          <cell r="C55" t="str">
            <v>70250501AI1</v>
          </cell>
          <cell r="D55">
            <v>94600</v>
          </cell>
          <cell r="E55" t="str">
            <v>23/09/2013</v>
          </cell>
        </row>
        <row r="56">
          <cell r="A56" t="str">
            <v>70250501AI1</v>
          </cell>
          <cell r="B56">
            <v>0.5</v>
          </cell>
          <cell r="C56" t="str">
            <v>7X12110EAL1</v>
          </cell>
          <cell r="D56">
            <v>94600</v>
          </cell>
          <cell r="E56" t="str">
            <v>23/09/2013</v>
          </cell>
        </row>
        <row r="57">
          <cell r="A57" t="str">
            <v>70250501AM1</v>
          </cell>
          <cell r="B57">
            <v>1</v>
          </cell>
          <cell r="C57" t="str">
            <v>70250501AG1</v>
          </cell>
          <cell r="D57">
            <v>94600</v>
          </cell>
          <cell r="E57" t="str">
            <v>23/09/2013</v>
          </cell>
        </row>
        <row r="58">
          <cell r="A58" t="str">
            <v>70250502AG1</v>
          </cell>
          <cell r="B58">
            <v>0.25</v>
          </cell>
          <cell r="C58" t="str">
            <v>70250502AI1</v>
          </cell>
          <cell r="D58">
            <v>94600</v>
          </cell>
          <cell r="E58" t="str">
            <v>23/09/2013</v>
          </cell>
        </row>
        <row r="59">
          <cell r="A59" t="str">
            <v>70250502AI1</v>
          </cell>
          <cell r="B59">
            <v>0.35</v>
          </cell>
          <cell r="C59" t="str">
            <v>7X12110EAL1</v>
          </cell>
          <cell r="D59">
            <v>94600</v>
          </cell>
          <cell r="E59" t="str">
            <v>23/09/2013</v>
          </cell>
        </row>
        <row r="60">
          <cell r="A60" t="str">
            <v>70250502AM1</v>
          </cell>
          <cell r="B60">
            <v>1.43</v>
          </cell>
          <cell r="C60" t="str">
            <v>70250502AG1</v>
          </cell>
          <cell r="D60">
            <v>94600</v>
          </cell>
          <cell r="E60" t="str">
            <v>23/09/2013</v>
          </cell>
        </row>
        <row r="61">
          <cell r="A61" t="str">
            <v>70261201AG1</v>
          </cell>
          <cell r="B61">
            <v>0.25</v>
          </cell>
          <cell r="C61" t="str">
            <v>70261201AI1</v>
          </cell>
          <cell r="D61">
            <v>94600</v>
          </cell>
          <cell r="E61" t="str">
            <v>23/09/2013</v>
          </cell>
        </row>
        <row r="62">
          <cell r="A62" t="str">
            <v>70261201AI1</v>
          </cell>
          <cell r="B62">
            <v>0.35</v>
          </cell>
          <cell r="C62" t="str">
            <v>70261201AL1</v>
          </cell>
          <cell r="D62">
            <v>94600</v>
          </cell>
          <cell r="E62" t="str">
            <v>23/09/2013</v>
          </cell>
        </row>
        <row r="63">
          <cell r="A63" t="str">
            <v>70261201BM1</v>
          </cell>
          <cell r="B63">
            <v>1.43</v>
          </cell>
          <cell r="C63" t="str">
            <v>70261201AG1</v>
          </cell>
          <cell r="D63">
            <v>94600</v>
          </cell>
          <cell r="E63" t="str">
            <v>23/09/2013</v>
          </cell>
        </row>
        <row r="64">
          <cell r="A64" t="str">
            <v>70261801AG1</v>
          </cell>
          <cell r="B64">
            <v>0.25</v>
          </cell>
          <cell r="C64" t="str">
            <v>70261801AI1</v>
          </cell>
          <cell r="D64">
            <v>94600</v>
          </cell>
          <cell r="E64" t="str">
            <v>23/09/2013</v>
          </cell>
        </row>
        <row r="65">
          <cell r="A65" t="str">
            <v>70261801AI1</v>
          </cell>
          <cell r="B65">
            <v>0.35</v>
          </cell>
          <cell r="C65" t="str">
            <v>70261801AL1</v>
          </cell>
          <cell r="D65">
            <v>94600</v>
          </cell>
          <cell r="E65" t="str">
            <v>23/09/2013</v>
          </cell>
        </row>
        <row r="66">
          <cell r="A66" t="str">
            <v>70261801BM1</v>
          </cell>
          <cell r="B66">
            <v>1.43</v>
          </cell>
          <cell r="C66" t="str">
            <v>70261801AG1</v>
          </cell>
          <cell r="D66">
            <v>94600</v>
          </cell>
          <cell r="E66" t="str">
            <v>23/09/2013</v>
          </cell>
        </row>
        <row r="67">
          <cell r="A67" t="str">
            <v>70262201AG1</v>
          </cell>
          <cell r="B67">
            <v>1</v>
          </cell>
          <cell r="C67" t="str">
            <v>70262201AI1</v>
          </cell>
          <cell r="D67">
            <v>94600</v>
          </cell>
          <cell r="E67" t="str">
            <v>23/09/2013</v>
          </cell>
        </row>
        <row r="68">
          <cell r="A68" t="str">
            <v>70262201AI1</v>
          </cell>
          <cell r="B68">
            <v>0.5</v>
          </cell>
          <cell r="C68" t="str">
            <v>7X16001FAL1</v>
          </cell>
          <cell r="D68">
            <v>94600</v>
          </cell>
          <cell r="E68" t="str">
            <v>23/09/2013</v>
          </cell>
        </row>
        <row r="69">
          <cell r="A69" t="str">
            <v>70262201AM1</v>
          </cell>
          <cell r="B69">
            <v>1</v>
          </cell>
          <cell r="C69" t="str">
            <v>70262201AG1</v>
          </cell>
          <cell r="D69">
            <v>94600</v>
          </cell>
          <cell r="E69" t="str">
            <v>23/09/2013</v>
          </cell>
        </row>
        <row r="70">
          <cell r="A70" t="str">
            <v>70262301AG1</v>
          </cell>
          <cell r="B70">
            <v>0.25</v>
          </cell>
          <cell r="C70" t="str">
            <v>70262301AI1</v>
          </cell>
          <cell r="D70">
            <v>94600</v>
          </cell>
          <cell r="E70" t="str">
            <v>23/09/2013</v>
          </cell>
        </row>
        <row r="71">
          <cell r="A71" t="str">
            <v>70262301AI1</v>
          </cell>
          <cell r="B71">
            <v>0.35</v>
          </cell>
          <cell r="C71" t="str">
            <v>70262301AL1</v>
          </cell>
          <cell r="D71">
            <v>94600</v>
          </cell>
          <cell r="E71" t="str">
            <v>23/09/2013</v>
          </cell>
        </row>
        <row r="72">
          <cell r="A72" t="str">
            <v>70262301AM1</v>
          </cell>
          <cell r="B72">
            <v>1.43</v>
          </cell>
          <cell r="C72" t="str">
            <v>70262301AG1</v>
          </cell>
          <cell r="D72">
            <v>94600</v>
          </cell>
          <cell r="E72" t="str">
            <v>23/09/2013</v>
          </cell>
        </row>
        <row r="73">
          <cell r="A73" t="str">
            <v>70301401AG1</v>
          </cell>
          <cell r="B73">
            <v>0.2</v>
          </cell>
          <cell r="C73" t="str">
            <v>70301401AI1</v>
          </cell>
          <cell r="D73">
            <v>94600</v>
          </cell>
          <cell r="E73" t="str">
            <v>23/09/2013</v>
          </cell>
        </row>
        <row r="74">
          <cell r="A74" t="str">
            <v>70301401AI1</v>
          </cell>
          <cell r="B74">
            <v>0.5</v>
          </cell>
          <cell r="C74" t="str">
            <v>7X16003EAL1</v>
          </cell>
          <cell r="D74">
            <v>94600</v>
          </cell>
          <cell r="E74" t="str">
            <v>23/09/2013</v>
          </cell>
        </row>
        <row r="75">
          <cell r="A75" t="str">
            <v>70301401AM1</v>
          </cell>
          <cell r="B75">
            <v>1</v>
          </cell>
          <cell r="C75" t="str">
            <v>70301401AG1</v>
          </cell>
          <cell r="D75">
            <v>94600</v>
          </cell>
          <cell r="E75" t="str">
            <v>23/09/2013</v>
          </cell>
        </row>
        <row r="76">
          <cell r="A76" t="str">
            <v>70301403AG1</v>
          </cell>
          <cell r="B76">
            <v>0.25</v>
          </cell>
          <cell r="C76" t="str">
            <v>70301403AI1</v>
          </cell>
          <cell r="D76">
            <v>94600</v>
          </cell>
          <cell r="E76" t="str">
            <v>23/09/2013</v>
          </cell>
        </row>
        <row r="77">
          <cell r="A77" t="str">
            <v>70301403AI1</v>
          </cell>
          <cell r="B77">
            <v>0.35</v>
          </cell>
          <cell r="C77" t="str">
            <v>7X16003EAL1</v>
          </cell>
          <cell r="D77">
            <v>94600</v>
          </cell>
          <cell r="E77" t="str">
            <v>23/09/2013</v>
          </cell>
        </row>
        <row r="78">
          <cell r="A78" t="str">
            <v>70301403AM1</v>
          </cell>
          <cell r="B78">
            <v>1.43</v>
          </cell>
          <cell r="C78" t="str">
            <v>70301403AG1</v>
          </cell>
          <cell r="D78">
            <v>94600</v>
          </cell>
          <cell r="E78" t="str">
            <v>23/09/2013</v>
          </cell>
        </row>
        <row r="79">
          <cell r="A79" t="str">
            <v>70301601AG1</v>
          </cell>
          <cell r="B79">
            <v>0.25</v>
          </cell>
          <cell r="C79" t="str">
            <v>70301601AI1</v>
          </cell>
          <cell r="D79">
            <v>94600</v>
          </cell>
          <cell r="E79" t="str">
            <v>23/09/2013</v>
          </cell>
        </row>
        <row r="80">
          <cell r="A80" t="str">
            <v>70301601AI1</v>
          </cell>
          <cell r="B80">
            <v>0.35</v>
          </cell>
          <cell r="C80" t="str">
            <v>70301601AL1</v>
          </cell>
          <cell r="D80">
            <v>94600</v>
          </cell>
          <cell r="E80" t="str">
            <v>23/09/2013</v>
          </cell>
        </row>
        <row r="81">
          <cell r="A81" t="str">
            <v>70301601AM1</v>
          </cell>
          <cell r="B81">
            <v>1.43</v>
          </cell>
          <cell r="C81" t="str">
            <v>70301601AG1</v>
          </cell>
          <cell r="D81">
            <v>94600</v>
          </cell>
          <cell r="E81" t="str">
            <v>23/09/2013</v>
          </cell>
        </row>
        <row r="82">
          <cell r="A82" t="str">
            <v>70342801AG1</v>
          </cell>
          <cell r="B82">
            <v>0.25</v>
          </cell>
          <cell r="C82" t="str">
            <v>70342801AI1</v>
          </cell>
          <cell r="D82">
            <v>94600</v>
          </cell>
          <cell r="E82" t="str">
            <v>23/09/2013</v>
          </cell>
        </row>
        <row r="83">
          <cell r="A83" t="str">
            <v>70342801AI1</v>
          </cell>
          <cell r="B83">
            <v>0.35</v>
          </cell>
          <cell r="C83" t="str">
            <v>70342801AL1</v>
          </cell>
          <cell r="D83">
            <v>94600</v>
          </cell>
          <cell r="E83" t="str">
            <v>23/09/2013</v>
          </cell>
        </row>
        <row r="84">
          <cell r="A84" t="str">
            <v>70342801AM1</v>
          </cell>
          <cell r="B84">
            <v>1.54</v>
          </cell>
          <cell r="C84" t="str">
            <v>70342801AG1</v>
          </cell>
          <cell r="D84">
            <v>94600</v>
          </cell>
          <cell r="E84" t="str">
            <v>23/09/2013</v>
          </cell>
        </row>
        <row r="85">
          <cell r="A85" t="str">
            <v>70342801IM1</v>
          </cell>
          <cell r="B85">
            <v>1.43</v>
          </cell>
          <cell r="C85" t="str">
            <v>70342801AG1</v>
          </cell>
          <cell r="D85">
            <v>94600</v>
          </cell>
          <cell r="E85" t="str">
            <v>23/09/2013</v>
          </cell>
        </row>
        <row r="86">
          <cell r="A86" t="str">
            <v>70342901AG1</v>
          </cell>
          <cell r="B86">
            <v>0.18</v>
          </cell>
          <cell r="C86" t="str">
            <v>70342901AI1</v>
          </cell>
          <cell r="D86">
            <v>94600</v>
          </cell>
          <cell r="E86" t="str">
            <v>23/09/2013</v>
          </cell>
        </row>
        <row r="87">
          <cell r="A87" t="str">
            <v>70342901AI1</v>
          </cell>
          <cell r="B87">
            <v>0.45</v>
          </cell>
          <cell r="C87" t="str">
            <v>70342901AL1</v>
          </cell>
          <cell r="D87">
            <v>94600</v>
          </cell>
          <cell r="E87" t="str">
            <v>23/09/2013</v>
          </cell>
        </row>
        <row r="88">
          <cell r="A88" t="str">
            <v>70342901AM1</v>
          </cell>
          <cell r="B88">
            <v>1.54</v>
          </cell>
          <cell r="C88" t="str">
            <v>70342901AG1</v>
          </cell>
          <cell r="D88">
            <v>94600</v>
          </cell>
          <cell r="E88" t="str">
            <v>23/09/2013</v>
          </cell>
        </row>
        <row r="89">
          <cell r="A89" t="str">
            <v>70390901AG1</v>
          </cell>
          <cell r="B89">
            <v>2.2000000000000002</v>
          </cell>
          <cell r="C89" t="str">
            <v>70390901AI1</v>
          </cell>
          <cell r="D89">
            <v>94600</v>
          </cell>
          <cell r="E89" t="str">
            <v>23/09/2013</v>
          </cell>
        </row>
        <row r="90">
          <cell r="A90" t="str">
            <v>70390901AI1</v>
          </cell>
          <cell r="B90">
            <v>0</v>
          </cell>
          <cell r="C90" t="str">
            <v>70390901AL1</v>
          </cell>
          <cell r="D90">
            <v>94600</v>
          </cell>
          <cell r="E90" t="str">
            <v>23/09/2013</v>
          </cell>
        </row>
        <row r="91">
          <cell r="A91" t="str">
            <v>70390901AM1</v>
          </cell>
          <cell r="B91">
            <v>7.5</v>
          </cell>
          <cell r="C91" t="str">
            <v>70390901AG1</v>
          </cell>
          <cell r="D91">
            <v>94600</v>
          </cell>
          <cell r="E91" t="str">
            <v>23/09/2013</v>
          </cell>
        </row>
        <row r="92">
          <cell r="A92" t="str">
            <v>70414206AG1</v>
          </cell>
          <cell r="B92">
            <v>1.3</v>
          </cell>
          <cell r="C92" t="str">
            <v>70414206AI1</v>
          </cell>
          <cell r="D92">
            <v>94600</v>
          </cell>
          <cell r="E92" t="str">
            <v>23/09/2013</v>
          </cell>
        </row>
        <row r="93">
          <cell r="A93" t="str">
            <v>70414206AI1</v>
          </cell>
          <cell r="B93">
            <v>0</v>
          </cell>
          <cell r="C93" t="str">
            <v>71130101AL1</v>
          </cell>
          <cell r="D93">
            <v>94600</v>
          </cell>
          <cell r="E93" t="str">
            <v>23/09/2013</v>
          </cell>
        </row>
        <row r="94">
          <cell r="A94" t="str">
            <v>70414206AM1</v>
          </cell>
          <cell r="B94">
            <v>3.3</v>
          </cell>
          <cell r="C94" t="str">
            <v>70414206AG1</v>
          </cell>
          <cell r="D94">
            <v>94600</v>
          </cell>
          <cell r="E94" t="str">
            <v>23/09/2013</v>
          </cell>
        </row>
        <row r="95">
          <cell r="A95" t="str">
            <v>70414207AG1</v>
          </cell>
          <cell r="B95">
            <v>0.4</v>
          </cell>
          <cell r="C95" t="str">
            <v>70414207AI1</v>
          </cell>
          <cell r="D95">
            <v>94600</v>
          </cell>
          <cell r="E95" t="str">
            <v>23/09/2013</v>
          </cell>
        </row>
        <row r="96">
          <cell r="A96" t="str">
            <v>70414207AI1</v>
          </cell>
          <cell r="B96">
            <v>0.97</v>
          </cell>
          <cell r="C96" t="str">
            <v>70414207AL1</v>
          </cell>
          <cell r="D96">
            <v>94600</v>
          </cell>
          <cell r="E96" t="str">
            <v>23/09/2013</v>
          </cell>
        </row>
        <row r="97">
          <cell r="A97" t="str">
            <v>70414207AM1</v>
          </cell>
          <cell r="B97">
            <v>2.14</v>
          </cell>
          <cell r="C97" t="str">
            <v>70414207AG1</v>
          </cell>
          <cell r="D97">
            <v>94600</v>
          </cell>
          <cell r="E97" t="str">
            <v>23/09/2013</v>
          </cell>
        </row>
        <row r="98">
          <cell r="A98" t="str">
            <v>70414401AG1</v>
          </cell>
          <cell r="B98">
            <v>0.25</v>
          </cell>
          <cell r="C98" t="str">
            <v>70414401AI1</v>
          </cell>
          <cell r="D98">
            <v>94600</v>
          </cell>
          <cell r="E98" t="str">
            <v>23/09/2013</v>
          </cell>
        </row>
        <row r="99">
          <cell r="A99" t="str">
            <v>70414401AI1</v>
          </cell>
          <cell r="B99">
            <v>0.35</v>
          </cell>
          <cell r="C99" t="str">
            <v>70414401AL1</v>
          </cell>
          <cell r="D99">
            <v>94600</v>
          </cell>
          <cell r="E99" t="str">
            <v>23/09/2013</v>
          </cell>
        </row>
        <row r="100">
          <cell r="A100" t="str">
            <v>70414401AM1</v>
          </cell>
          <cell r="B100">
            <v>1.43</v>
          </cell>
          <cell r="C100" t="str">
            <v>70414401AG1</v>
          </cell>
          <cell r="D100">
            <v>94600</v>
          </cell>
          <cell r="E100" t="str">
            <v>23/09/2013</v>
          </cell>
        </row>
        <row r="101">
          <cell r="A101" t="str">
            <v>70414401AM2</v>
          </cell>
          <cell r="B101">
            <v>2.2999999999999998</v>
          </cell>
          <cell r="C101" t="str">
            <v>70414401AG1</v>
          </cell>
          <cell r="D101">
            <v>94600</v>
          </cell>
          <cell r="E101" t="str">
            <v>23/09/2013</v>
          </cell>
        </row>
        <row r="102">
          <cell r="A102" t="str">
            <v>70414401CM1</v>
          </cell>
          <cell r="B102">
            <v>2.2999999999999998</v>
          </cell>
          <cell r="C102" t="str">
            <v>70414401AG1</v>
          </cell>
          <cell r="D102">
            <v>94600</v>
          </cell>
          <cell r="E102" t="str">
            <v>23/09/2013</v>
          </cell>
        </row>
        <row r="103">
          <cell r="A103" t="str">
            <v>70414401DM1</v>
          </cell>
          <cell r="B103">
            <v>2.2999999999999998</v>
          </cell>
          <cell r="C103" t="str">
            <v>70414401AG1</v>
          </cell>
          <cell r="D103">
            <v>94600</v>
          </cell>
          <cell r="E103" t="str">
            <v>23/09/2013</v>
          </cell>
        </row>
        <row r="104">
          <cell r="A104" t="str">
            <v>70414401EM1</v>
          </cell>
          <cell r="B104">
            <v>2</v>
          </cell>
          <cell r="C104" t="str">
            <v>70414401AG1</v>
          </cell>
          <cell r="D104">
            <v>94600</v>
          </cell>
          <cell r="E104" t="str">
            <v>23/09/2013</v>
          </cell>
        </row>
        <row r="105">
          <cell r="A105" t="str">
            <v>70414401FG1</v>
          </cell>
          <cell r="B105">
            <v>0.25</v>
          </cell>
          <cell r="C105" t="str">
            <v>70414401FI1</v>
          </cell>
          <cell r="D105">
            <v>94600</v>
          </cell>
          <cell r="E105" t="str">
            <v>23/09/2013</v>
          </cell>
        </row>
        <row r="106">
          <cell r="A106" t="str">
            <v>70414401FI1</v>
          </cell>
          <cell r="B106">
            <v>0.35</v>
          </cell>
          <cell r="C106" t="str">
            <v>70414401FL1</v>
          </cell>
          <cell r="D106">
            <v>94600</v>
          </cell>
          <cell r="E106" t="str">
            <v>23/09/2013</v>
          </cell>
        </row>
        <row r="107">
          <cell r="A107" t="str">
            <v>70414401FM1</v>
          </cell>
          <cell r="B107">
            <v>1.43</v>
          </cell>
          <cell r="C107" t="str">
            <v>70414401FG1</v>
          </cell>
          <cell r="D107">
            <v>94600</v>
          </cell>
          <cell r="E107" t="str">
            <v>23/09/2013</v>
          </cell>
        </row>
        <row r="108">
          <cell r="A108" t="str">
            <v>70414401GG1</v>
          </cell>
          <cell r="B108">
            <v>0.25</v>
          </cell>
          <cell r="C108" t="str">
            <v>70414401GI1</v>
          </cell>
          <cell r="D108">
            <v>94600</v>
          </cell>
          <cell r="E108" t="str">
            <v>23/09/2013</v>
          </cell>
        </row>
        <row r="109">
          <cell r="A109" t="str">
            <v>70414401GI1</v>
          </cell>
          <cell r="B109">
            <v>0.35</v>
          </cell>
          <cell r="C109" t="str">
            <v>70414401GL1</v>
          </cell>
          <cell r="D109">
            <v>94600</v>
          </cell>
          <cell r="E109" t="str">
            <v>23/09/2013</v>
          </cell>
        </row>
        <row r="110">
          <cell r="A110" t="str">
            <v>70414401GM1</v>
          </cell>
          <cell r="B110">
            <v>1.43</v>
          </cell>
          <cell r="C110" t="str">
            <v>70414401GG1</v>
          </cell>
          <cell r="D110">
            <v>94600</v>
          </cell>
          <cell r="E110" t="str">
            <v>23/09/2013</v>
          </cell>
        </row>
        <row r="111">
          <cell r="A111" t="str">
            <v>70414601AG1</v>
          </cell>
          <cell r="B111">
            <v>0.25</v>
          </cell>
          <cell r="C111" t="str">
            <v>70414601AI1</v>
          </cell>
          <cell r="D111">
            <v>94600</v>
          </cell>
          <cell r="E111" t="str">
            <v>23/09/2013</v>
          </cell>
        </row>
        <row r="112">
          <cell r="A112" t="str">
            <v>70414601AI1</v>
          </cell>
          <cell r="B112">
            <v>0.35</v>
          </cell>
          <cell r="C112" t="str">
            <v>7X23207DAL1</v>
          </cell>
          <cell r="D112">
            <v>94600</v>
          </cell>
          <cell r="E112" t="str">
            <v>23/09/2013</v>
          </cell>
        </row>
        <row r="113">
          <cell r="A113" t="str">
            <v>70414601AM1</v>
          </cell>
          <cell r="B113">
            <v>1.43</v>
          </cell>
          <cell r="C113" t="str">
            <v>70414601AG1</v>
          </cell>
          <cell r="D113">
            <v>94600</v>
          </cell>
          <cell r="E113" t="str">
            <v>23/09/2013</v>
          </cell>
        </row>
        <row r="114">
          <cell r="A114" t="str">
            <v>70414601BM1</v>
          </cell>
          <cell r="B114">
            <v>1.43</v>
          </cell>
          <cell r="C114" t="str">
            <v>70414601AG1</v>
          </cell>
          <cell r="D114">
            <v>94600</v>
          </cell>
          <cell r="E114" t="str">
            <v>23/09/2013</v>
          </cell>
        </row>
        <row r="115">
          <cell r="A115" t="str">
            <v>70414601DM1</v>
          </cell>
          <cell r="B115">
            <v>0.8</v>
          </cell>
          <cell r="C115" t="str">
            <v>70414601AG1</v>
          </cell>
          <cell r="D115">
            <v>94600</v>
          </cell>
          <cell r="E115" t="str">
            <v>23/09/2013</v>
          </cell>
        </row>
        <row r="116">
          <cell r="A116" t="str">
            <v>70414601EG1</v>
          </cell>
          <cell r="B116">
            <v>0.25</v>
          </cell>
          <cell r="C116" t="str">
            <v>70414601EI1</v>
          </cell>
          <cell r="D116">
            <v>94600</v>
          </cell>
          <cell r="E116" t="str">
            <v>23/09/2013</v>
          </cell>
        </row>
        <row r="117">
          <cell r="A117" t="str">
            <v>70414601EI1</v>
          </cell>
          <cell r="B117">
            <v>0.35</v>
          </cell>
          <cell r="C117" t="str">
            <v>70414601EL1</v>
          </cell>
          <cell r="D117">
            <v>94600</v>
          </cell>
          <cell r="E117" t="str">
            <v>23/09/2013</v>
          </cell>
        </row>
        <row r="118">
          <cell r="A118" t="str">
            <v>70414601EM1</v>
          </cell>
          <cell r="B118">
            <v>1.43</v>
          </cell>
          <cell r="C118" t="str">
            <v>70414601EG1</v>
          </cell>
          <cell r="D118">
            <v>94600</v>
          </cell>
          <cell r="E118" t="str">
            <v>23/09/2013</v>
          </cell>
        </row>
        <row r="119">
          <cell r="A119" t="str">
            <v>70430301AG1</v>
          </cell>
          <cell r="B119">
            <v>0.8</v>
          </cell>
          <cell r="C119" t="str">
            <v>70430301AI1</v>
          </cell>
          <cell r="D119">
            <v>94600</v>
          </cell>
          <cell r="E119" t="str">
            <v>23/09/2013</v>
          </cell>
        </row>
        <row r="120">
          <cell r="A120" t="str">
            <v>70430301AI1</v>
          </cell>
          <cell r="B120">
            <v>0</v>
          </cell>
          <cell r="C120" t="str">
            <v>70430301AL1</v>
          </cell>
          <cell r="D120">
            <v>94600</v>
          </cell>
          <cell r="E120" t="str">
            <v>23/09/2013</v>
          </cell>
        </row>
        <row r="121">
          <cell r="A121" t="str">
            <v>70430301AM1</v>
          </cell>
          <cell r="B121">
            <v>2.2999999999999998</v>
          </cell>
          <cell r="C121" t="str">
            <v>70430301AG1</v>
          </cell>
          <cell r="D121">
            <v>94600</v>
          </cell>
          <cell r="E121" t="str">
            <v>23/09/2013</v>
          </cell>
        </row>
        <row r="122">
          <cell r="A122" t="str">
            <v>70492605EG1</v>
          </cell>
          <cell r="B122">
            <v>0.18</v>
          </cell>
          <cell r="C122" t="str">
            <v>70492605EI1</v>
          </cell>
          <cell r="D122">
            <v>94600</v>
          </cell>
          <cell r="E122" t="str">
            <v>23/09/2013</v>
          </cell>
        </row>
        <row r="123">
          <cell r="A123" t="str">
            <v>70492605EI1</v>
          </cell>
          <cell r="B123">
            <v>0.45</v>
          </cell>
          <cell r="C123" t="str">
            <v>70492605EL1</v>
          </cell>
          <cell r="D123">
            <v>94600</v>
          </cell>
          <cell r="E123" t="str">
            <v>23/09/2013</v>
          </cell>
        </row>
        <row r="124">
          <cell r="A124" t="str">
            <v>70492605EM1</v>
          </cell>
          <cell r="B124">
            <v>1.54</v>
          </cell>
          <cell r="C124" t="str">
            <v>70492605EG1</v>
          </cell>
          <cell r="D124">
            <v>94600</v>
          </cell>
          <cell r="E124" t="str">
            <v>23/09/2013</v>
          </cell>
        </row>
        <row r="125">
          <cell r="A125" t="str">
            <v>70492606BG1</v>
          </cell>
          <cell r="B125">
            <v>0.18</v>
          </cell>
          <cell r="C125" t="str">
            <v>70492606BI1</v>
          </cell>
          <cell r="D125">
            <v>94600</v>
          </cell>
          <cell r="E125" t="str">
            <v>23/09/2013</v>
          </cell>
        </row>
        <row r="126">
          <cell r="A126" t="str">
            <v>70492606BI1</v>
          </cell>
          <cell r="B126">
            <v>0.45</v>
          </cell>
          <cell r="C126" t="str">
            <v>70492605EL1</v>
          </cell>
          <cell r="D126">
            <v>94600</v>
          </cell>
          <cell r="E126" t="str">
            <v>23/09/2013</v>
          </cell>
        </row>
        <row r="127">
          <cell r="A127" t="str">
            <v>70492606BM1</v>
          </cell>
          <cell r="B127">
            <v>1.54</v>
          </cell>
          <cell r="C127" t="str">
            <v>70492606BG1</v>
          </cell>
          <cell r="D127">
            <v>94600</v>
          </cell>
          <cell r="E127" t="str">
            <v>23/09/2013</v>
          </cell>
        </row>
        <row r="128">
          <cell r="A128" t="str">
            <v>70493601GG1</v>
          </cell>
          <cell r="B128">
            <v>0.5</v>
          </cell>
          <cell r="C128" t="str">
            <v>70493601GI1</v>
          </cell>
          <cell r="D128">
            <v>94600</v>
          </cell>
          <cell r="E128" t="str">
            <v>23/09/2013</v>
          </cell>
        </row>
        <row r="129">
          <cell r="A129" t="str">
            <v>70493601GI1</v>
          </cell>
          <cell r="B129">
            <v>0.5</v>
          </cell>
          <cell r="C129" t="str">
            <v>70493601GL1</v>
          </cell>
          <cell r="D129">
            <v>94600</v>
          </cell>
          <cell r="E129" t="str">
            <v>23/09/2013</v>
          </cell>
        </row>
        <row r="130">
          <cell r="A130" t="str">
            <v>70493601GM1</v>
          </cell>
          <cell r="B130">
            <v>1.54</v>
          </cell>
          <cell r="C130" t="str">
            <v>70493601GG1</v>
          </cell>
          <cell r="D130">
            <v>94600</v>
          </cell>
          <cell r="E130" t="str">
            <v>23/09/2013</v>
          </cell>
        </row>
        <row r="131">
          <cell r="A131" t="str">
            <v>70493601IM1</v>
          </cell>
          <cell r="B131">
            <v>1</v>
          </cell>
          <cell r="C131" t="str">
            <v>70493601GG1</v>
          </cell>
          <cell r="D131">
            <v>94600</v>
          </cell>
          <cell r="E131" t="str">
            <v>23/09/2013</v>
          </cell>
        </row>
        <row r="132">
          <cell r="A132" t="str">
            <v>70493601JG1</v>
          </cell>
          <cell r="B132">
            <v>0.25</v>
          </cell>
          <cell r="C132" t="str">
            <v>70493601JI1</v>
          </cell>
          <cell r="D132">
            <v>94600</v>
          </cell>
          <cell r="E132" t="str">
            <v>23/09/2013</v>
          </cell>
        </row>
        <row r="133">
          <cell r="A133" t="str">
            <v>70493601JI1</v>
          </cell>
          <cell r="B133">
            <v>0.35</v>
          </cell>
          <cell r="C133" t="str">
            <v>70493601JL1</v>
          </cell>
          <cell r="D133">
            <v>94600</v>
          </cell>
          <cell r="E133" t="str">
            <v>23/09/2013</v>
          </cell>
        </row>
        <row r="134">
          <cell r="A134" t="str">
            <v>70493601JM1</v>
          </cell>
          <cell r="B134">
            <v>1.43</v>
          </cell>
          <cell r="C134" t="str">
            <v>70493601JG1</v>
          </cell>
          <cell r="D134">
            <v>94600</v>
          </cell>
          <cell r="E134" t="str">
            <v>23/09/2013</v>
          </cell>
        </row>
        <row r="135">
          <cell r="A135" t="str">
            <v>70495204CG1</v>
          </cell>
          <cell r="B135">
            <v>0.18</v>
          </cell>
          <cell r="C135" t="str">
            <v>70495204CI1</v>
          </cell>
          <cell r="D135">
            <v>94600</v>
          </cell>
          <cell r="E135" t="str">
            <v>23/09/2013</v>
          </cell>
        </row>
        <row r="136">
          <cell r="A136" t="str">
            <v>70495204CI1</v>
          </cell>
          <cell r="B136">
            <v>0.45</v>
          </cell>
          <cell r="C136" t="str">
            <v>70492605EL1</v>
          </cell>
          <cell r="D136">
            <v>94600</v>
          </cell>
          <cell r="E136" t="str">
            <v>23/09/2013</v>
          </cell>
        </row>
        <row r="137">
          <cell r="A137" t="str">
            <v>70495204CM1</v>
          </cell>
          <cell r="B137">
            <v>1.54</v>
          </cell>
          <cell r="C137" t="str">
            <v>70495204CG1</v>
          </cell>
          <cell r="D137">
            <v>94600</v>
          </cell>
          <cell r="E137" t="str">
            <v>23/09/2013</v>
          </cell>
        </row>
        <row r="138">
          <cell r="A138" t="str">
            <v>70495206AG1</v>
          </cell>
          <cell r="B138">
            <v>0.18</v>
          </cell>
          <cell r="C138" t="str">
            <v>70495206AI1</v>
          </cell>
          <cell r="D138">
            <v>94600</v>
          </cell>
          <cell r="E138" t="str">
            <v>23/09/2013</v>
          </cell>
        </row>
        <row r="139">
          <cell r="A139" t="str">
            <v>70495206AI1</v>
          </cell>
          <cell r="B139">
            <v>0.45</v>
          </cell>
          <cell r="C139" t="str">
            <v>70495202AL1</v>
          </cell>
          <cell r="D139">
            <v>94600</v>
          </cell>
          <cell r="E139" t="str">
            <v>23/09/2013</v>
          </cell>
        </row>
        <row r="140">
          <cell r="A140" t="str">
            <v>70495206AM1</v>
          </cell>
          <cell r="B140">
            <v>1.54</v>
          </cell>
          <cell r="C140" t="str">
            <v>70495206AG1</v>
          </cell>
          <cell r="D140">
            <v>94600</v>
          </cell>
          <cell r="E140" t="str">
            <v>23/09/2013</v>
          </cell>
        </row>
        <row r="141">
          <cell r="A141" t="str">
            <v>70495207AG1</v>
          </cell>
          <cell r="B141">
            <v>0.18</v>
          </cell>
          <cell r="C141" t="str">
            <v>70495207AI1</v>
          </cell>
          <cell r="D141">
            <v>94600</v>
          </cell>
          <cell r="E141" t="str">
            <v>23/09/2013</v>
          </cell>
        </row>
        <row r="142">
          <cell r="A142" t="str">
            <v>70495207AI1</v>
          </cell>
          <cell r="B142">
            <v>0.45</v>
          </cell>
          <cell r="C142" t="str">
            <v>70495202AL1</v>
          </cell>
          <cell r="D142">
            <v>94600</v>
          </cell>
          <cell r="E142" t="str">
            <v>23/09/2013</v>
          </cell>
        </row>
        <row r="143">
          <cell r="A143" t="str">
            <v>70495207AM1</v>
          </cell>
          <cell r="B143">
            <v>1.54</v>
          </cell>
          <cell r="C143" t="str">
            <v>70495207AG1</v>
          </cell>
          <cell r="D143">
            <v>94600</v>
          </cell>
          <cell r="E143" t="str">
            <v>23/09/2013</v>
          </cell>
        </row>
        <row r="144">
          <cell r="A144" t="str">
            <v>70495208AG1</v>
          </cell>
          <cell r="B144">
            <v>0.18</v>
          </cell>
          <cell r="C144" t="str">
            <v>70495208AI1</v>
          </cell>
          <cell r="D144">
            <v>94600</v>
          </cell>
          <cell r="E144" t="str">
            <v>23/09/2013</v>
          </cell>
        </row>
        <row r="145">
          <cell r="A145" t="str">
            <v>70495208AI1</v>
          </cell>
          <cell r="B145">
            <v>0.45</v>
          </cell>
          <cell r="C145" t="str">
            <v>70492605EL1</v>
          </cell>
          <cell r="D145">
            <v>94600</v>
          </cell>
          <cell r="E145" t="str">
            <v>23/09/2013</v>
          </cell>
        </row>
        <row r="146">
          <cell r="A146" t="str">
            <v>70495208AM1</v>
          </cell>
          <cell r="B146">
            <v>1.54</v>
          </cell>
          <cell r="C146" t="str">
            <v>70495208AG1</v>
          </cell>
          <cell r="D146">
            <v>94600</v>
          </cell>
          <cell r="E146" t="str">
            <v>23/09/2013</v>
          </cell>
        </row>
        <row r="147">
          <cell r="A147" t="str">
            <v>70495209AG1</v>
          </cell>
          <cell r="B147">
            <v>0.18</v>
          </cell>
          <cell r="C147" t="str">
            <v>70495209AI1</v>
          </cell>
          <cell r="D147">
            <v>94600</v>
          </cell>
          <cell r="E147" t="str">
            <v>23/09/2013</v>
          </cell>
        </row>
        <row r="148">
          <cell r="A148" t="str">
            <v>70495209AI1</v>
          </cell>
          <cell r="B148">
            <v>0.45</v>
          </cell>
          <cell r="C148" t="str">
            <v>70492605EL1</v>
          </cell>
          <cell r="D148">
            <v>94600</v>
          </cell>
          <cell r="E148" t="str">
            <v>23/09/2013</v>
          </cell>
        </row>
        <row r="149">
          <cell r="A149" t="str">
            <v>70495209AM1</v>
          </cell>
          <cell r="B149">
            <v>1.54</v>
          </cell>
          <cell r="C149" t="str">
            <v>70495209AG1</v>
          </cell>
          <cell r="D149">
            <v>94600</v>
          </cell>
          <cell r="E149" t="str">
            <v>23/09/2013</v>
          </cell>
        </row>
        <row r="150">
          <cell r="A150" t="str">
            <v>70496505AG1</v>
          </cell>
          <cell r="B150">
            <v>0.25</v>
          </cell>
          <cell r="C150" t="str">
            <v>70496505AI1</v>
          </cell>
          <cell r="D150">
            <v>94600</v>
          </cell>
          <cell r="E150" t="str">
            <v>23/09/2013</v>
          </cell>
        </row>
        <row r="151">
          <cell r="A151" t="str">
            <v>70496505AI1</v>
          </cell>
          <cell r="B151">
            <v>0.35</v>
          </cell>
          <cell r="C151" t="str">
            <v>70496505AL1</v>
          </cell>
          <cell r="D151">
            <v>94600</v>
          </cell>
          <cell r="E151" t="str">
            <v>23/09/2013</v>
          </cell>
        </row>
        <row r="152">
          <cell r="A152" t="str">
            <v>70496505AM1</v>
          </cell>
          <cell r="B152">
            <v>1.43</v>
          </cell>
          <cell r="C152" t="str">
            <v>70496505AG1</v>
          </cell>
          <cell r="D152">
            <v>94600</v>
          </cell>
          <cell r="E152" t="str">
            <v>23/09/2013</v>
          </cell>
        </row>
        <row r="153">
          <cell r="A153" t="str">
            <v>70496505BM1</v>
          </cell>
          <cell r="B153">
            <v>2.5</v>
          </cell>
          <cell r="C153" t="str">
            <v>70496505AG1</v>
          </cell>
          <cell r="D153">
            <v>94600</v>
          </cell>
          <cell r="E153" t="str">
            <v>23/09/2013</v>
          </cell>
        </row>
        <row r="154">
          <cell r="A154" t="str">
            <v>70496505DM1</v>
          </cell>
          <cell r="B154">
            <v>2.1</v>
          </cell>
          <cell r="C154" t="str">
            <v>70496505AG1</v>
          </cell>
          <cell r="D154">
            <v>94600</v>
          </cell>
          <cell r="E154" t="str">
            <v>23/09/2013</v>
          </cell>
        </row>
        <row r="155">
          <cell r="A155" t="str">
            <v>70496505EM1</v>
          </cell>
          <cell r="B155">
            <v>1.43</v>
          </cell>
          <cell r="C155" t="str">
            <v>70496505AG1</v>
          </cell>
          <cell r="D155">
            <v>94600</v>
          </cell>
          <cell r="E155" t="str">
            <v>23/09/2013</v>
          </cell>
        </row>
        <row r="156">
          <cell r="A156" t="str">
            <v>70496701AG1</v>
          </cell>
          <cell r="B156">
            <v>2.1</v>
          </cell>
          <cell r="C156" t="str">
            <v>70496701AI1</v>
          </cell>
          <cell r="D156">
            <v>94600</v>
          </cell>
          <cell r="E156" t="str">
            <v>23/09/2013</v>
          </cell>
        </row>
        <row r="157">
          <cell r="A157" t="str">
            <v>70496701AI1</v>
          </cell>
          <cell r="B157">
            <v>0</v>
          </cell>
          <cell r="C157" t="str">
            <v>70496701AL1</v>
          </cell>
          <cell r="D157">
            <v>94600</v>
          </cell>
          <cell r="E157" t="str">
            <v>23/09/2013</v>
          </cell>
        </row>
        <row r="158">
          <cell r="A158" t="str">
            <v>70496701AM1</v>
          </cell>
          <cell r="B158">
            <v>2.5</v>
          </cell>
          <cell r="C158" t="str">
            <v>70496701AG1</v>
          </cell>
          <cell r="D158">
            <v>94600</v>
          </cell>
          <cell r="E158" t="str">
            <v>23/09/2013</v>
          </cell>
        </row>
        <row r="159">
          <cell r="A159" t="str">
            <v>70496703AG1</v>
          </cell>
          <cell r="B159">
            <v>0</v>
          </cell>
          <cell r="C159" t="str">
            <v>70496703AI1</v>
          </cell>
          <cell r="D159">
            <v>94600</v>
          </cell>
          <cell r="E159" t="str">
            <v>23/09/2013</v>
          </cell>
        </row>
        <row r="160">
          <cell r="A160" t="str">
            <v>70496703AI1</v>
          </cell>
          <cell r="B160">
            <v>0</v>
          </cell>
          <cell r="C160" t="str">
            <v>70496703AL1</v>
          </cell>
          <cell r="D160">
            <v>94600</v>
          </cell>
          <cell r="E160" t="str">
            <v>23/09/2013</v>
          </cell>
        </row>
        <row r="161">
          <cell r="A161" t="str">
            <v>70496703AM1</v>
          </cell>
          <cell r="B161">
            <v>0</v>
          </cell>
          <cell r="C161" t="str">
            <v>70496703AG1</v>
          </cell>
          <cell r="D161">
            <v>94600</v>
          </cell>
          <cell r="E161" t="str">
            <v>23/09/2013</v>
          </cell>
        </row>
        <row r="162">
          <cell r="A162" t="str">
            <v>70496704AG1</v>
          </cell>
          <cell r="B162">
            <v>0.25</v>
          </cell>
          <cell r="C162" t="str">
            <v>70496704AI1</v>
          </cell>
          <cell r="D162">
            <v>94600</v>
          </cell>
          <cell r="E162" t="str">
            <v>23/09/2013</v>
          </cell>
        </row>
        <row r="163">
          <cell r="A163" t="str">
            <v>70496704AI1</v>
          </cell>
          <cell r="B163">
            <v>0.35</v>
          </cell>
          <cell r="C163" t="str">
            <v>70496703AL1</v>
          </cell>
          <cell r="D163">
            <v>94600</v>
          </cell>
          <cell r="E163" t="str">
            <v>23/09/2013</v>
          </cell>
        </row>
        <row r="164">
          <cell r="A164" t="str">
            <v>70496704AM1</v>
          </cell>
          <cell r="B164">
            <v>1.43</v>
          </cell>
          <cell r="C164" t="str">
            <v>70496704AG1</v>
          </cell>
          <cell r="D164">
            <v>94600</v>
          </cell>
          <cell r="E164" t="str">
            <v>23/09/2013</v>
          </cell>
        </row>
        <row r="165">
          <cell r="A165" t="str">
            <v>70496704CM1</v>
          </cell>
          <cell r="B165">
            <v>1.82</v>
          </cell>
          <cell r="C165" t="str">
            <v>70496704AG1</v>
          </cell>
          <cell r="D165">
            <v>94600</v>
          </cell>
          <cell r="E165" t="str">
            <v>23/09/2013</v>
          </cell>
        </row>
        <row r="166">
          <cell r="A166" t="str">
            <v>70496704EG1</v>
          </cell>
          <cell r="B166">
            <v>1.5</v>
          </cell>
          <cell r="C166" t="str">
            <v>70496704EI1</v>
          </cell>
          <cell r="D166">
            <v>94600</v>
          </cell>
          <cell r="E166" t="str">
            <v>23/09/2013</v>
          </cell>
        </row>
        <row r="167">
          <cell r="A167" t="str">
            <v>70496704EI1</v>
          </cell>
          <cell r="B167">
            <v>0.5</v>
          </cell>
          <cell r="C167" t="str">
            <v>70496704EL1</v>
          </cell>
          <cell r="D167">
            <v>94600</v>
          </cell>
          <cell r="E167" t="str">
            <v>23/09/2013</v>
          </cell>
        </row>
        <row r="168">
          <cell r="A168" t="str">
            <v>70496704EM1</v>
          </cell>
          <cell r="B168">
            <v>2.4500000000000002</v>
          </cell>
          <cell r="C168" t="str">
            <v>70496704EG1</v>
          </cell>
          <cell r="D168">
            <v>94600</v>
          </cell>
          <cell r="E168" t="str">
            <v>23/09/2013</v>
          </cell>
        </row>
        <row r="169">
          <cell r="A169" t="str">
            <v>70496704GM1</v>
          </cell>
          <cell r="B169">
            <v>1.82</v>
          </cell>
          <cell r="C169" t="str">
            <v>70496704AG1</v>
          </cell>
          <cell r="D169">
            <v>94600</v>
          </cell>
          <cell r="E169" t="str">
            <v>23/09/2013</v>
          </cell>
        </row>
        <row r="170">
          <cell r="A170" t="str">
            <v>70496704HM1</v>
          </cell>
          <cell r="B170">
            <v>1.82</v>
          </cell>
          <cell r="C170" t="str">
            <v>70496704AG1</v>
          </cell>
          <cell r="D170">
            <v>94600</v>
          </cell>
          <cell r="E170" t="str">
            <v>23/09/2013</v>
          </cell>
        </row>
        <row r="171">
          <cell r="A171" t="str">
            <v>70496713AG1</v>
          </cell>
          <cell r="B171">
            <v>0.25</v>
          </cell>
          <cell r="C171" t="str">
            <v>70496713AI1</v>
          </cell>
          <cell r="D171">
            <v>94600</v>
          </cell>
          <cell r="E171" t="str">
            <v>23/09/2013</v>
          </cell>
        </row>
        <row r="172">
          <cell r="A172" t="str">
            <v>70496713AI1</v>
          </cell>
          <cell r="B172">
            <v>0.35</v>
          </cell>
          <cell r="C172" t="str">
            <v>70496713AL1</v>
          </cell>
          <cell r="D172">
            <v>94600</v>
          </cell>
          <cell r="E172" t="str">
            <v>23/09/2013</v>
          </cell>
        </row>
        <row r="173">
          <cell r="A173" t="str">
            <v>70496713AM1</v>
          </cell>
          <cell r="B173">
            <v>1.82</v>
          </cell>
          <cell r="C173" t="str">
            <v>70496713AG1</v>
          </cell>
          <cell r="D173">
            <v>94600</v>
          </cell>
          <cell r="E173" t="str">
            <v>23/09/2013</v>
          </cell>
        </row>
        <row r="174">
          <cell r="A174" t="str">
            <v>70497005AG1</v>
          </cell>
          <cell r="B174">
            <v>0.11</v>
          </cell>
          <cell r="C174" t="str">
            <v>70497005AI1</v>
          </cell>
          <cell r="D174">
            <v>94600</v>
          </cell>
          <cell r="E174" t="str">
            <v>23/09/2013</v>
          </cell>
        </row>
        <row r="175">
          <cell r="A175" t="str">
            <v>70497005AI1</v>
          </cell>
          <cell r="B175">
            <v>0.37</v>
          </cell>
          <cell r="C175" t="str">
            <v>70497001AL1</v>
          </cell>
          <cell r="D175">
            <v>94600</v>
          </cell>
          <cell r="E175" t="str">
            <v>23/09/2013</v>
          </cell>
        </row>
        <row r="176">
          <cell r="A176" t="str">
            <v>70497005AM1</v>
          </cell>
          <cell r="B176">
            <v>2.14</v>
          </cell>
          <cell r="C176" t="str">
            <v>70497005AG1</v>
          </cell>
          <cell r="D176">
            <v>94600</v>
          </cell>
          <cell r="E176" t="str">
            <v>23/09/2013</v>
          </cell>
        </row>
        <row r="177">
          <cell r="A177" t="str">
            <v>70497005CM1</v>
          </cell>
          <cell r="B177">
            <v>7.01</v>
          </cell>
          <cell r="C177" t="str">
            <v>70497005AG1</v>
          </cell>
          <cell r="D177">
            <v>94600</v>
          </cell>
          <cell r="E177" t="str">
            <v>23/09/2013</v>
          </cell>
        </row>
        <row r="178">
          <cell r="A178" t="str">
            <v>70497009AG1</v>
          </cell>
          <cell r="B178">
            <v>0.4</v>
          </cell>
          <cell r="C178" t="str">
            <v>70497009AI1</v>
          </cell>
          <cell r="D178">
            <v>94600</v>
          </cell>
          <cell r="E178" t="str">
            <v>23/09/2013</v>
          </cell>
        </row>
        <row r="179">
          <cell r="A179" t="str">
            <v>70497009AI1</v>
          </cell>
          <cell r="B179">
            <v>0.97</v>
          </cell>
          <cell r="C179" t="str">
            <v>70497010AL1</v>
          </cell>
          <cell r="D179">
            <v>94600</v>
          </cell>
          <cell r="E179" t="str">
            <v>23/09/2013</v>
          </cell>
        </row>
        <row r="180">
          <cell r="A180" t="str">
            <v>70497009AM1</v>
          </cell>
          <cell r="B180">
            <v>2.14</v>
          </cell>
          <cell r="C180" t="str">
            <v>70497009AG1</v>
          </cell>
          <cell r="D180">
            <v>94600</v>
          </cell>
          <cell r="E180" t="str">
            <v>23/09/2013</v>
          </cell>
        </row>
        <row r="181">
          <cell r="A181" t="str">
            <v>70497009BM1</v>
          </cell>
          <cell r="B181">
            <v>2.14</v>
          </cell>
          <cell r="C181" t="str">
            <v>70497009AG1</v>
          </cell>
          <cell r="D181">
            <v>94600</v>
          </cell>
          <cell r="E181" t="str">
            <v>23/09/2013</v>
          </cell>
        </row>
        <row r="182">
          <cell r="A182" t="str">
            <v>70497501AG1</v>
          </cell>
          <cell r="B182">
            <v>0.25</v>
          </cell>
          <cell r="C182" t="str">
            <v>70497501AI1</v>
          </cell>
          <cell r="D182">
            <v>94600</v>
          </cell>
          <cell r="E182" t="str">
            <v>23/09/2013</v>
          </cell>
        </row>
        <row r="183">
          <cell r="A183" t="str">
            <v>70497501AI1</v>
          </cell>
          <cell r="B183">
            <v>0.35</v>
          </cell>
          <cell r="C183" t="str">
            <v>70497501AL1</v>
          </cell>
          <cell r="D183">
            <v>94600</v>
          </cell>
          <cell r="E183" t="str">
            <v>23/09/2013</v>
          </cell>
        </row>
        <row r="184">
          <cell r="A184" t="str">
            <v>70497501AM1</v>
          </cell>
          <cell r="B184">
            <v>1.43</v>
          </cell>
          <cell r="C184" t="str">
            <v>70497501AG1</v>
          </cell>
          <cell r="D184">
            <v>94600</v>
          </cell>
          <cell r="E184" t="str">
            <v>23/09/2013</v>
          </cell>
        </row>
        <row r="185">
          <cell r="A185" t="str">
            <v>70497501DM1</v>
          </cell>
          <cell r="B185">
            <v>1.43</v>
          </cell>
          <cell r="C185" t="str">
            <v>70497501AG1</v>
          </cell>
          <cell r="D185">
            <v>94600</v>
          </cell>
          <cell r="E185" t="str">
            <v>23/09/2013</v>
          </cell>
        </row>
        <row r="186">
          <cell r="A186" t="str">
            <v>70497602AG1</v>
          </cell>
          <cell r="B186">
            <v>0.4</v>
          </cell>
          <cell r="C186" t="str">
            <v>70497602AI1</v>
          </cell>
          <cell r="D186">
            <v>94600</v>
          </cell>
          <cell r="E186" t="str">
            <v>23/09/2013</v>
          </cell>
        </row>
        <row r="187">
          <cell r="A187" t="str">
            <v>70497602AI1</v>
          </cell>
          <cell r="B187">
            <v>0.97</v>
          </cell>
          <cell r="C187" t="str">
            <v>7X33207AAL1</v>
          </cell>
          <cell r="D187">
            <v>94600</v>
          </cell>
          <cell r="E187" t="str">
            <v>23/09/2013</v>
          </cell>
        </row>
        <row r="188">
          <cell r="A188" t="str">
            <v>70497602AM1</v>
          </cell>
          <cell r="B188">
            <v>2.14</v>
          </cell>
          <cell r="C188" t="str">
            <v>70497602AG1</v>
          </cell>
          <cell r="D188">
            <v>94600</v>
          </cell>
          <cell r="E188" t="str">
            <v>23/09/2013</v>
          </cell>
        </row>
        <row r="189">
          <cell r="A189" t="str">
            <v>70497603AG1</v>
          </cell>
          <cell r="B189">
            <v>0.4</v>
          </cell>
          <cell r="C189" t="str">
            <v>70497603AI1</v>
          </cell>
          <cell r="D189">
            <v>94600</v>
          </cell>
          <cell r="E189" t="str">
            <v>23/09/2013</v>
          </cell>
        </row>
        <row r="190">
          <cell r="A190" t="str">
            <v>70497603AI1</v>
          </cell>
          <cell r="B190">
            <v>0.97</v>
          </cell>
          <cell r="C190" t="str">
            <v>7X33207AAL1</v>
          </cell>
          <cell r="D190">
            <v>94600</v>
          </cell>
          <cell r="E190" t="str">
            <v>23/09/2013</v>
          </cell>
        </row>
        <row r="191">
          <cell r="A191" t="str">
            <v>70497603AM1</v>
          </cell>
          <cell r="B191">
            <v>2.14</v>
          </cell>
          <cell r="C191" t="str">
            <v>70497603AG1</v>
          </cell>
          <cell r="D191">
            <v>94600</v>
          </cell>
          <cell r="E191" t="str">
            <v>23/09/2013</v>
          </cell>
        </row>
        <row r="192">
          <cell r="A192" t="str">
            <v>70498801AG1</v>
          </cell>
          <cell r="B192">
            <v>0.25</v>
          </cell>
          <cell r="C192" t="str">
            <v>70498801AI1</v>
          </cell>
          <cell r="D192">
            <v>94600</v>
          </cell>
          <cell r="E192" t="str">
            <v>23/09/2013</v>
          </cell>
        </row>
        <row r="193">
          <cell r="A193" t="str">
            <v>70498801AI1</v>
          </cell>
          <cell r="B193">
            <v>0.35</v>
          </cell>
          <cell r="C193" t="str">
            <v>70498801AL1</v>
          </cell>
          <cell r="D193">
            <v>94600</v>
          </cell>
          <cell r="E193" t="str">
            <v>23/09/2013</v>
          </cell>
        </row>
        <row r="194">
          <cell r="A194" t="str">
            <v>70498801AM1</v>
          </cell>
          <cell r="B194">
            <v>1.43</v>
          </cell>
          <cell r="C194" t="str">
            <v>70498801AG1</v>
          </cell>
          <cell r="D194">
            <v>94600</v>
          </cell>
          <cell r="E194" t="str">
            <v>23/09/2013</v>
          </cell>
        </row>
        <row r="195">
          <cell r="A195" t="str">
            <v>70498801BM1</v>
          </cell>
          <cell r="B195">
            <v>1.43</v>
          </cell>
          <cell r="C195" t="str">
            <v>70498801AG1</v>
          </cell>
          <cell r="D195">
            <v>94600</v>
          </cell>
          <cell r="E195" t="str">
            <v>23/09/2013</v>
          </cell>
        </row>
        <row r="196">
          <cell r="A196" t="str">
            <v>70498801CM1</v>
          </cell>
          <cell r="B196">
            <v>1.82</v>
          </cell>
          <cell r="C196" t="str">
            <v>70498801AG1</v>
          </cell>
          <cell r="D196">
            <v>94600</v>
          </cell>
          <cell r="E196" t="str">
            <v>23/09/2013</v>
          </cell>
        </row>
        <row r="197">
          <cell r="A197" t="str">
            <v>70498802AG1</v>
          </cell>
          <cell r="B197">
            <v>0.25</v>
          </cell>
          <cell r="C197" t="str">
            <v>70498802AI1</v>
          </cell>
          <cell r="D197">
            <v>94600</v>
          </cell>
          <cell r="E197" t="str">
            <v>23/09/2013</v>
          </cell>
        </row>
        <row r="198">
          <cell r="A198" t="str">
            <v>70498802AI1</v>
          </cell>
          <cell r="B198">
            <v>0.35</v>
          </cell>
          <cell r="C198" t="str">
            <v>70498802AL1</v>
          </cell>
          <cell r="D198">
            <v>94600</v>
          </cell>
          <cell r="E198" t="str">
            <v>23/09/2013</v>
          </cell>
        </row>
        <row r="199">
          <cell r="A199" t="str">
            <v>70498802AM1</v>
          </cell>
          <cell r="B199">
            <v>1</v>
          </cell>
          <cell r="C199" t="str">
            <v>70498802AG1</v>
          </cell>
          <cell r="D199">
            <v>94600</v>
          </cell>
          <cell r="E199" t="str">
            <v>23/09/2013</v>
          </cell>
        </row>
        <row r="200">
          <cell r="A200" t="str">
            <v>70498802BM1</v>
          </cell>
          <cell r="B200">
            <v>1.82</v>
          </cell>
          <cell r="C200" t="str">
            <v>70498802AG1</v>
          </cell>
          <cell r="D200">
            <v>94600</v>
          </cell>
          <cell r="E200" t="str">
            <v>23/09/2013</v>
          </cell>
        </row>
        <row r="201">
          <cell r="A201" t="str">
            <v>70498803AG1</v>
          </cell>
          <cell r="B201">
            <v>0.25</v>
          </cell>
          <cell r="C201" t="str">
            <v>70498803AI1</v>
          </cell>
          <cell r="D201">
            <v>94600</v>
          </cell>
          <cell r="E201" t="str">
            <v>23/09/2013</v>
          </cell>
        </row>
        <row r="202">
          <cell r="A202" t="str">
            <v>70498803AI1</v>
          </cell>
          <cell r="B202">
            <v>0.35</v>
          </cell>
          <cell r="C202" t="str">
            <v>70498803AL1</v>
          </cell>
          <cell r="D202">
            <v>94600</v>
          </cell>
          <cell r="E202" t="str">
            <v>23/09/2013</v>
          </cell>
        </row>
        <row r="203">
          <cell r="A203" t="str">
            <v>70498803AM1</v>
          </cell>
          <cell r="B203">
            <v>1.43</v>
          </cell>
          <cell r="C203" t="str">
            <v>70498803AG1</v>
          </cell>
          <cell r="D203">
            <v>94600</v>
          </cell>
          <cell r="E203" t="str">
            <v>23/09/2013</v>
          </cell>
        </row>
        <row r="204">
          <cell r="A204" t="str">
            <v>70641610AG1</v>
          </cell>
          <cell r="B204">
            <v>0.25</v>
          </cell>
          <cell r="C204" t="str">
            <v>70641610AI1</v>
          </cell>
          <cell r="D204">
            <v>94600</v>
          </cell>
          <cell r="E204" t="str">
            <v>23/09/2013</v>
          </cell>
        </row>
        <row r="205">
          <cell r="A205" t="str">
            <v>70641610AI1</v>
          </cell>
          <cell r="B205">
            <v>0.35</v>
          </cell>
          <cell r="C205" t="str">
            <v>70641610AL1</v>
          </cell>
          <cell r="D205">
            <v>94600</v>
          </cell>
          <cell r="E205" t="str">
            <v>23/09/2013</v>
          </cell>
        </row>
        <row r="206">
          <cell r="A206" t="str">
            <v>70641610AM1</v>
          </cell>
          <cell r="B206">
            <v>1.54</v>
          </cell>
          <cell r="C206" t="str">
            <v>70641610AG1</v>
          </cell>
          <cell r="D206">
            <v>94600</v>
          </cell>
          <cell r="E206" t="str">
            <v>23/09/2013</v>
          </cell>
        </row>
        <row r="207">
          <cell r="A207" t="str">
            <v>70641610FM1</v>
          </cell>
          <cell r="B207">
            <v>3.1</v>
          </cell>
          <cell r="C207" t="str">
            <v>70641610AG1</v>
          </cell>
          <cell r="D207">
            <v>94600</v>
          </cell>
          <cell r="E207" t="str">
            <v>23/09/2013</v>
          </cell>
        </row>
        <row r="208">
          <cell r="A208" t="str">
            <v>70641610HM1</v>
          </cell>
          <cell r="B208">
            <v>1.43</v>
          </cell>
          <cell r="C208" t="str">
            <v>70641610AG1</v>
          </cell>
          <cell r="D208">
            <v>94600</v>
          </cell>
          <cell r="E208" t="str">
            <v>23/09/2013</v>
          </cell>
        </row>
        <row r="209">
          <cell r="A209" t="str">
            <v>70641610JM1</v>
          </cell>
          <cell r="B209">
            <v>2.1</v>
          </cell>
          <cell r="C209" t="str">
            <v>70641610AG1</v>
          </cell>
          <cell r="D209">
            <v>94600</v>
          </cell>
          <cell r="E209" t="str">
            <v>23/09/2013</v>
          </cell>
        </row>
        <row r="210">
          <cell r="A210" t="str">
            <v>70642006AG1</v>
          </cell>
          <cell r="B210">
            <v>0.18</v>
          </cell>
          <cell r="C210" t="str">
            <v>70642006AI1</v>
          </cell>
          <cell r="D210">
            <v>94600</v>
          </cell>
          <cell r="E210" t="str">
            <v>23/09/2013</v>
          </cell>
        </row>
        <row r="211">
          <cell r="A211" t="str">
            <v>70642006AI1</v>
          </cell>
          <cell r="B211">
            <v>0.45</v>
          </cell>
          <cell r="C211" t="str">
            <v>70642006AL1</v>
          </cell>
          <cell r="D211">
            <v>94600</v>
          </cell>
          <cell r="E211" t="str">
            <v>23/09/2013</v>
          </cell>
        </row>
        <row r="212">
          <cell r="A212" t="str">
            <v>70642006AM1</v>
          </cell>
          <cell r="B212">
            <v>1.54</v>
          </cell>
          <cell r="C212" t="str">
            <v>70642006AG1</v>
          </cell>
          <cell r="D212">
            <v>94600</v>
          </cell>
          <cell r="E212" t="str">
            <v>23/09/2013</v>
          </cell>
        </row>
        <row r="213">
          <cell r="A213" t="str">
            <v>70642006EG1</v>
          </cell>
          <cell r="B213">
            <v>0.19</v>
          </cell>
          <cell r="C213" t="str">
            <v>70642006EI1</v>
          </cell>
          <cell r="D213">
            <v>94600</v>
          </cell>
          <cell r="E213" t="str">
            <v>23/09/2013</v>
          </cell>
        </row>
        <row r="214">
          <cell r="A214" t="str">
            <v>70642006EI1</v>
          </cell>
          <cell r="B214">
            <v>0.34</v>
          </cell>
          <cell r="C214" t="str">
            <v>70642006EL1</v>
          </cell>
          <cell r="D214">
            <v>94600</v>
          </cell>
          <cell r="E214" t="str">
            <v>23/09/2013</v>
          </cell>
        </row>
        <row r="215">
          <cell r="A215" t="str">
            <v>70642006EM1</v>
          </cell>
          <cell r="B215">
            <v>1.82</v>
          </cell>
          <cell r="C215" t="str">
            <v>70642006EG1</v>
          </cell>
          <cell r="D215">
            <v>94600</v>
          </cell>
          <cell r="E215" t="str">
            <v>23/09/2013</v>
          </cell>
        </row>
        <row r="216">
          <cell r="A216" t="str">
            <v>70642304AG1</v>
          </cell>
          <cell r="B216">
            <v>0.18</v>
          </cell>
          <cell r="C216" t="str">
            <v>70642304AI1</v>
          </cell>
          <cell r="D216">
            <v>94600</v>
          </cell>
          <cell r="E216" t="str">
            <v>23/09/2013</v>
          </cell>
        </row>
        <row r="217">
          <cell r="A217" t="str">
            <v>70642304AI1</v>
          </cell>
          <cell r="B217">
            <v>0.45</v>
          </cell>
          <cell r="C217" t="str">
            <v>70642304AL1</v>
          </cell>
          <cell r="D217">
            <v>94600</v>
          </cell>
          <cell r="E217" t="str">
            <v>23/09/2013</v>
          </cell>
        </row>
        <row r="218">
          <cell r="A218" t="str">
            <v>70642304AM1</v>
          </cell>
          <cell r="B218">
            <v>1.54</v>
          </cell>
          <cell r="C218" t="str">
            <v>70642304AG1</v>
          </cell>
          <cell r="D218">
            <v>94600</v>
          </cell>
          <cell r="E218" t="str">
            <v>23/09/2013</v>
          </cell>
        </row>
        <row r="219">
          <cell r="A219" t="str">
            <v>70642304GG1</v>
          </cell>
          <cell r="B219">
            <v>2</v>
          </cell>
          <cell r="C219" t="str">
            <v>70642304GI1</v>
          </cell>
          <cell r="D219">
            <v>94600</v>
          </cell>
          <cell r="E219" t="str">
            <v>23/09/2013</v>
          </cell>
        </row>
        <row r="220">
          <cell r="A220" t="str">
            <v>70642304GI1</v>
          </cell>
          <cell r="B220">
            <v>2</v>
          </cell>
          <cell r="C220" t="str">
            <v>70642310AL1</v>
          </cell>
          <cell r="D220">
            <v>94600</v>
          </cell>
          <cell r="E220" t="str">
            <v>23/09/2013</v>
          </cell>
        </row>
        <row r="221">
          <cell r="A221" t="str">
            <v>70642304GM1</v>
          </cell>
          <cell r="B221">
            <v>2</v>
          </cell>
          <cell r="C221" t="str">
            <v>70642304GG1</v>
          </cell>
          <cell r="D221">
            <v>94600</v>
          </cell>
          <cell r="E221" t="str">
            <v>23/09/2013</v>
          </cell>
        </row>
        <row r="222">
          <cell r="A222" t="str">
            <v>70642310AG1</v>
          </cell>
          <cell r="B222">
            <v>1.4</v>
          </cell>
          <cell r="C222" t="str">
            <v>70642310AI1</v>
          </cell>
          <cell r="D222">
            <v>94600</v>
          </cell>
          <cell r="E222" t="str">
            <v>23/09/2013</v>
          </cell>
        </row>
        <row r="223">
          <cell r="A223" t="str">
            <v>70642310AI1</v>
          </cell>
          <cell r="B223">
            <v>0</v>
          </cell>
          <cell r="C223" t="str">
            <v>70642310AL1</v>
          </cell>
          <cell r="D223">
            <v>94600</v>
          </cell>
          <cell r="E223" t="str">
            <v>23/09/2013</v>
          </cell>
        </row>
        <row r="224">
          <cell r="A224" t="str">
            <v>70642310AM1</v>
          </cell>
          <cell r="B224">
            <v>3.5</v>
          </cell>
          <cell r="C224" t="str">
            <v>70642310AG1</v>
          </cell>
          <cell r="D224">
            <v>94600</v>
          </cell>
          <cell r="E224" t="str">
            <v>23/09/2013</v>
          </cell>
        </row>
        <row r="225">
          <cell r="A225" t="str">
            <v>70642901AG1</v>
          </cell>
          <cell r="B225">
            <v>0.25</v>
          </cell>
          <cell r="C225" t="str">
            <v>70642901AI1</v>
          </cell>
          <cell r="D225">
            <v>94600</v>
          </cell>
          <cell r="E225" t="str">
            <v>23/09/2013</v>
          </cell>
        </row>
        <row r="226">
          <cell r="A226" t="str">
            <v>70642901AI1</v>
          </cell>
          <cell r="B226">
            <v>0.35</v>
          </cell>
          <cell r="C226" t="str">
            <v>70642901AL1</v>
          </cell>
          <cell r="D226">
            <v>94600</v>
          </cell>
          <cell r="E226" t="str">
            <v>23/09/2013</v>
          </cell>
        </row>
        <row r="227">
          <cell r="A227" t="str">
            <v>70642901CM1</v>
          </cell>
          <cell r="B227">
            <v>1.43</v>
          </cell>
          <cell r="C227" t="str">
            <v>70642901AG1</v>
          </cell>
          <cell r="D227">
            <v>94600</v>
          </cell>
          <cell r="E227" t="str">
            <v>23/09/2013</v>
          </cell>
        </row>
        <row r="228">
          <cell r="A228" t="str">
            <v>70645001AG1</v>
          </cell>
          <cell r="B228">
            <v>0.18</v>
          </cell>
          <cell r="C228" t="str">
            <v>70645001AI1</v>
          </cell>
          <cell r="D228">
            <v>94600</v>
          </cell>
          <cell r="E228" t="str">
            <v>23/09/2013</v>
          </cell>
        </row>
        <row r="229">
          <cell r="A229" t="str">
            <v>70645001AI1</v>
          </cell>
          <cell r="B229">
            <v>0.45</v>
          </cell>
          <cell r="C229" t="str">
            <v>70220201BL1</v>
          </cell>
          <cell r="D229">
            <v>94600</v>
          </cell>
          <cell r="E229" t="str">
            <v>23/09/2013</v>
          </cell>
        </row>
        <row r="230">
          <cell r="A230" t="str">
            <v>70645001AM1</v>
          </cell>
          <cell r="B230">
            <v>1.54</v>
          </cell>
          <cell r="C230" t="str">
            <v>70645001AG1</v>
          </cell>
          <cell r="D230">
            <v>94600</v>
          </cell>
          <cell r="E230" t="str">
            <v>23/09/2013</v>
          </cell>
        </row>
        <row r="231">
          <cell r="A231" t="str">
            <v>70645301AG1</v>
          </cell>
          <cell r="B231">
            <v>0.8</v>
          </cell>
          <cell r="C231" t="str">
            <v>70645301AI1</v>
          </cell>
          <cell r="D231">
            <v>94600</v>
          </cell>
          <cell r="E231" t="str">
            <v>23/09/2013</v>
          </cell>
        </row>
        <row r="232">
          <cell r="A232" t="str">
            <v>70645301AI1</v>
          </cell>
          <cell r="B232">
            <v>0</v>
          </cell>
          <cell r="C232" t="str">
            <v>70645301AL1</v>
          </cell>
          <cell r="D232">
            <v>94600</v>
          </cell>
          <cell r="E232" t="str">
            <v>23/09/2013</v>
          </cell>
        </row>
        <row r="233">
          <cell r="A233" t="str">
            <v>70645301AM1</v>
          </cell>
          <cell r="B233">
            <v>2.2999999999999998</v>
          </cell>
          <cell r="C233" t="str">
            <v>70645301AG1</v>
          </cell>
          <cell r="D233">
            <v>94600</v>
          </cell>
          <cell r="E233" t="str">
            <v>23/09/2013</v>
          </cell>
        </row>
        <row r="234">
          <cell r="A234" t="str">
            <v>70645302AG1</v>
          </cell>
          <cell r="B234">
            <v>0.25</v>
          </cell>
          <cell r="C234" t="str">
            <v>70645302AI1</v>
          </cell>
          <cell r="D234">
            <v>94600</v>
          </cell>
          <cell r="E234" t="str">
            <v>23/09/2013</v>
          </cell>
        </row>
        <row r="235">
          <cell r="A235" t="str">
            <v>70645302AI1</v>
          </cell>
          <cell r="B235">
            <v>0.35</v>
          </cell>
          <cell r="C235" t="str">
            <v>70645302AL1</v>
          </cell>
          <cell r="D235">
            <v>94600</v>
          </cell>
          <cell r="E235" t="str">
            <v>23/09/2013</v>
          </cell>
        </row>
        <row r="236">
          <cell r="A236" t="str">
            <v>70645302AM1</v>
          </cell>
          <cell r="B236">
            <v>1.43</v>
          </cell>
          <cell r="C236" t="str">
            <v>70645302AG1</v>
          </cell>
          <cell r="D236">
            <v>94600</v>
          </cell>
          <cell r="E236" t="str">
            <v>23/09/2013</v>
          </cell>
        </row>
        <row r="237">
          <cell r="A237" t="str">
            <v>70662401BG1</v>
          </cell>
          <cell r="B237">
            <v>0.18</v>
          </cell>
          <cell r="C237" t="str">
            <v>70662401BI1</v>
          </cell>
          <cell r="D237">
            <v>94600</v>
          </cell>
          <cell r="E237" t="str">
            <v>23/09/2013</v>
          </cell>
        </row>
        <row r="238">
          <cell r="A238" t="str">
            <v>70662401BI1</v>
          </cell>
          <cell r="B238">
            <v>0.45</v>
          </cell>
          <cell r="C238" t="str">
            <v>70662401BL1</v>
          </cell>
          <cell r="D238">
            <v>94600</v>
          </cell>
          <cell r="E238" t="str">
            <v>23/09/2013</v>
          </cell>
        </row>
        <row r="239">
          <cell r="A239" t="str">
            <v>70662401BM1</v>
          </cell>
          <cell r="B239">
            <v>1.54</v>
          </cell>
          <cell r="C239" t="str">
            <v>70662401BG1</v>
          </cell>
          <cell r="D239">
            <v>94600</v>
          </cell>
          <cell r="E239" t="str">
            <v>23/09/2013</v>
          </cell>
        </row>
        <row r="240">
          <cell r="A240" t="str">
            <v>70662401PM1</v>
          </cell>
          <cell r="B240">
            <v>1.54</v>
          </cell>
          <cell r="C240" t="str">
            <v>70662401BG1</v>
          </cell>
          <cell r="D240">
            <v>94600</v>
          </cell>
          <cell r="E240" t="str">
            <v>23/09/2013</v>
          </cell>
        </row>
        <row r="241">
          <cell r="A241" t="str">
            <v>70690801AG2</v>
          </cell>
          <cell r="B241">
            <v>0.25</v>
          </cell>
          <cell r="C241" t="str">
            <v>70690801AI2</v>
          </cell>
          <cell r="D241">
            <v>94600</v>
          </cell>
          <cell r="E241" t="str">
            <v>23/09/2013</v>
          </cell>
        </row>
        <row r="242">
          <cell r="A242" t="str">
            <v>70690801AI2</v>
          </cell>
          <cell r="B242">
            <v>0.35</v>
          </cell>
          <cell r="C242" t="str">
            <v>70690801AL2</v>
          </cell>
          <cell r="D242">
            <v>94600</v>
          </cell>
          <cell r="E242" t="str">
            <v>23/09/2013</v>
          </cell>
        </row>
        <row r="243">
          <cell r="A243" t="str">
            <v>70690801AM2</v>
          </cell>
          <cell r="B243">
            <v>2.1</v>
          </cell>
          <cell r="C243" t="str">
            <v>70690801AG2</v>
          </cell>
          <cell r="D243">
            <v>94600</v>
          </cell>
          <cell r="E243" t="str">
            <v>23/09/2013</v>
          </cell>
        </row>
        <row r="244">
          <cell r="A244" t="str">
            <v>70690801BG1</v>
          </cell>
          <cell r="B244">
            <v>0.7</v>
          </cell>
          <cell r="C244" t="str">
            <v>70690801BI1</v>
          </cell>
          <cell r="D244">
            <v>94600</v>
          </cell>
          <cell r="E244" t="str">
            <v>23/09/2013</v>
          </cell>
        </row>
        <row r="245">
          <cell r="A245" t="str">
            <v>70690801BI1</v>
          </cell>
          <cell r="B245">
            <v>0</v>
          </cell>
          <cell r="C245" t="str">
            <v>70690801BL1</v>
          </cell>
          <cell r="D245">
            <v>94600</v>
          </cell>
          <cell r="E245" t="str">
            <v>23/09/2013</v>
          </cell>
        </row>
        <row r="246">
          <cell r="A246" t="str">
            <v>70690801BM1</v>
          </cell>
          <cell r="B246">
            <v>2.1</v>
          </cell>
          <cell r="C246" t="str">
            <v>70690801BG1</v>
          </cell>
          <cell r="D246">
            <v>94600</v>
          </cell>
          <cell r="E246" t="str">
            <v>23/09/2013</v>
          </cell>
        </row>
        <row r="247">
          <cell r="A247" t="str">
            <v>70690801CM1</v>
          </cell>
          <cell r="B247">
            <v>1.43</v>
          </cell>
          <cell r="C247" t="str">
            <v>70690801AG2</v>
          </cell>
          <cell r="D247">
            <v>94600</v>
          </cell>
          <cell r="E247" t="str">
            <v>23/09/2013</v>
          </cell>
        </row>
        <row r="248">
          <cell r="A248" t="str">
            <v>70720105CG1</v>
          </cell>
          <cell r="B248">
            <v>1</v>
          </cell>
          <cell r="C248" t="str">
            <v>70720105CI1</v>
          </cell>
          <cell r="D248">
            <v>94600</v>
          </cell>
          <cell r="E248" t="str">
            <v>23/09/2013</v>
          </cell>
        </row>
        <row r="249">
          <cell r="A249" t="str">
            <v>70720105CI1</v>
          </cell>
          <cell r="B249">
            <v>0</v>
          </cell>
          <cell r="C249" t="str">
            <v>70720105CL1</v>
          </cell>
          <cell r="D249">
            <v>94600</v>
          </cell>
          <cell r="E249" t="str">
            <v>23/09/2013</v>
          </cell>
        </row>
        <row r="250">
          <cell r="A250" t="str">
            <v>70720105CM1</v>
          </cell>
          <cell r="B250">
            <v>0.9</v>
          </cell>
          <cell r="C250" t="str">
            <v>70720105CG1</v>
          </cell>
          <cell r="D250">
            <v>94600</v>
          </cell>
          <cell r="E250" t="str">
            <v>23/09/2013</v>
          </cell>
        </row>
        <row r="251">
          <cell r="A251" t="str">
            <v>70720105EM1</v>
          </cell>
          <cell r="B251">
            <v>0.9</v>
          </cell>
          <cell r="C251" t="str">
            <v>70720105CG1</v>
          </cell>
          <cell r="D251">
            <v>94600</v>
          </cell>
          <cell r="E251" t="str">
            <v>23/09/2013</v>
          </cell>
        </row>
        <row r="252">
          <cell r="A252" t="str">
            <v>70720302AG1</v>
          </cell>
          <cell r="B252">
            <v>0.25</v>
          </cell>
          <cell r="C252" t="str">
            <v>70720302AI1</v>
          </cell>
          <cell r="D252">
            <v>94600</v>
          </cell>
          <cell r="E252" t="str">
            <v>23/09/2013</v>
          </cell>
        </row>
        <row r="253">
          <cell r="A253" t="str">
            <v>70720302AI1</v>
          </cell>
          <cell r="B253">
            <v>0.35</v>
          </cell>
          <cell r="C253" t="str">
            <v>70720301AL1</v>
          </cell>
          <cell r="D253">
            <v>94600</v>
          </cell>
          <cell r="E253" t="str">
            <v>23/09/2013</v>
          </cell>
        </row>
        <row r="254">
          <cell r="A254" t="str">
            <v>70720302AM1</v>
          </cell>
          <cell r="B254">
            <v>1.43</v>
          </cell>
          <cell r="C254" t="str">
            <v>70720302AG1</v>
          </cell>
          <cell r="D254">
            <v>94600</v>
          </cell>
          <cell r="E254" t="str">
            <v>23/09/2013</v>
          </cell>
        </row>
        <row r="255">
          <cell r="A255" t="str">
            <v>70722903AG1</v>
          </cell>
          <cell r="B255">
            <v>0.25</v>
          </cell>
          <cell r="C255" t="str">
            <v>70722903AI1</v>
          </cell>
          <cell r="D255">
            <v>94600</v>
          </cell>
          <cell r="E255" t="str">
            <v>23/09/2013</v>
          </cell>
        </row>
        <row r="256">
          <cell r="A256" t="str">
            <v>70722903AI1</v>
          </cell>
          <cell r="B256">
            <v>0.35</v>
          </cell>
          <cell r="C256" t="str">
            <v>70120403AL1</v>
          </cell>
          <cell r="D256">
            <v>94600</v>
          </cell>
          <cell r="E256" t="str">
            <v>23/09/2013</v>
          </cell>
        </row>
        <row r="257">
          <cell r="A257" t="str">
            <v>70722903AM1</v>
          </cell>
          <cell r="B257">
            <v>1.54</v>
          </cell>
          <cell r="C257" t="str">
            <v>70722903AG1</v>
          </cell>
          <cell r="D257">
            <v>94600</v>
          </cell>
          <cell r="E257" t="str">
            <v>23/09/2013</v>
          </cell>
        </row>
        <row r="258">
          <cell r="A258" t="str">
            <v>70722903CM1</v>
          </cell>
          <cell r="B258">
            <v>2.2999999999999998</v>
          </cell>
          <cell r="C258" t="str">
            <v>70722903AG1</v>
          </cell>
          <cell r="D258">
            <v>94600</v>
          </cell>
          <cell r="E258" t="str">
            <v>23/09/2013</v>
          </cell>
        </row>
        <row r="259">
          <cell r="A259" t="str">
            <v>70722903EM1</v>
          </cell>
          <cell r="B259">
            <v>1.43</v>
          </cell>
          <cell r="C259" t="str">
            <v>70722903AG1</v>
          </cell>
          <cell r="D259">
            <v>94600</v>
          </cell>
          <cell r="E259" t="str">
            <v>23/09/2013</v>
          </cell>
        </row>
        <row r="260">
          <cell r="A260" t="str">
            <v>70722903HM1</v>
          </cell>
          <cell r="B260">
            <v>1.82</v>
          </cell>
          <cell r="C260" t="str">
            <v>70722903AG1</v>
          </cell>
          <cell r="D260">
            <v>94600</v>
          </cell>
          <cell r="E260" t="str">
            <v>23/09/2013</v>
          </cell>
        </row>
        <row r="261">
          <cell r="A261" t="str">
            <v>70723003AG1</v>
          </cell>
          <cell r="B261">
            <v>0.11</v>
          </cell>
          <cell r="C261" t="str">
            <v>70723003AI1</v>
          </cell>
          <cell r="D261">
            <v>94600</v>
          </cell>
          <cell r="E261" t="str">
            <v>23/09/2013</v>
          </cell>
        </row>
        <row r="262">
          <cell r="A262" t="str">
            <v>70723003AI1</v>
          </cell>
          <cell r="B262">
            <v>0.37</v>
          </cell>
          <cell r="C262" t="str">
            <v>70723001AL1</v>
          </cell>
          <cell r="D262">
            <v>94600</v>
          </cell>
          <cell r="E262" t="str">
            <v>23/09/2013</v>
          </cell>
        </row>
        <row r="263">
          <cell r="A263" t="str">
            <v>70723003AM1</v>
          </cell>
          <cell r="B263">
            <v>7.5</v>
          </cell>
          <cell r="C263" t="str">
            <v>70723003AG1</v>
          </cell>
          <cell r="D263">
            <v>94600</v>
          </cell>
          <cell r="E263" t="str">
            <v>23/09/2013</v>
          </cell>
        </row>
        <row r="264">
          <cell r="A264" t="str">
            <v>70723003DM1</v>
          </cell>
          <cell r="B264">
            <v>7.8</v>
          </cell>
          <cell r="C264" t="str">
            <v>70723003AG1</v>
          </cell>
          <cell r="D264">
            <v>94600</v>
          </cell>
          <cell r="E264" t="str">
            <v>23/09/2013</v>
          </cell>
        </row>
        <row r="265">
          <cell r="A265" t="str">
            <v>70723003EM1</v>
          </cell>
          <cell r="B265">
            <v>2.14</v>
          </cell>
          <cell r="C265" t="str">
            <v>70723003AG1</v>
          </cell>
          <cell r="D265">
            <v>94600</v>
          </cell>
          <cell r="E265" t="str">
            <v>23/09/2013</v>
          </cell>
        </row>
        <row r="266">
          <cell r="A266" t="str">
            <v>70723003FM1</v>
          </cell>
          <cell r="B266">
            <v>2.14</v>
          </cell>
          <cell r="C266" t="str">
            <v>70723003AG1</v>
          </cell>
          <cell r="D266">
            <v>94600</v>
          </cell>
          <cell r="E266" t="str">
            <v>23/09/2013</v>
          </cell>
        </row>
        <row r="267">
          <cell r="A267" t="str">
            <v>70723003GM1</v>
          </cell>
          <cell r="B267">
            <v>7.01</v>
          </cell>
          <cell r="C267" t="str">
            <v>70723003AG1</v>
          </cell>
          <cell r="D267">
            <v>94600</v>
          </cell>
          <cell r="E267" t="str">
            <v>23/09/2013</v>
          </cell>
        </row>
        <row r="268">
          <cell r="A268" t="str">
            <v>70723003IM1</v>
          </cell>
          <cell r="B268">
            <v>7.01</v>
          </cell>
          <cell r="C268" t="str">
            <v>70723003AG1</v>
          </cell>
          <cell r="D268">
            <v>94600</v>
          </cell>
          <cell r="E268" t="str">
            <v>23/09/2013</v>
          </cell>
        </row>
        <row r="269">
          <cell r="A269" t="str">
            <v>70723004AG1</v>
          </cell>
          <cell r="B269">
            <v>2.2000000000000002</v>
          </cell>
          <cell r="C269" t="str">
            <v>70723004AI1</v>
          </cell>
          <cell r="D269">
            <v>94600</v>
          </cell>
          <cell r="E269" t="str">
            <v>23/09/2013</v>
          </cell>
        </row>
        <row r="270">
          <cell r="A270" t="str">
            <v>70723004AI1</v>
          </cell>
          <cell r="B270">
            <v>0</v>
          </cell>
          <cell r="C270" t="str">
            <v>70723004AL1</v>
          </cell>
          <cell r="D270">
            <v>94600</v>
          </cell>
          <cell r="E270" t="str">
            <v>23/09/2013</v>
          </cell>
        </row>
        <row r="271">
          <cell r="A271" t="str">
            <v>70723004AM1</v>
          </cell>
          <cell r="B271">
            <v>7.5</v>
          </cell>
          <cell r="C271" t="str">
            <v>70723004AG1</v>
          </cell>
          <cell r="D271">
            <v>94600</v>
          </cell>
          <cell r="E271" t="str">
            <v>23/09/2013</v>
          </cell>
        </row>
        <row r="272">
          <cell r="A272" t="str">
            <v>70723201AG1</v>
          </cell>
          <cell r="B272">
            <v>0.25</v>
          </cell>
          <cell r="C272" t="str">
            <v>70723201AI1</v>
          </cell>
          <cell r="D272">
            <v>94600</v>
          </cell>
          <cell r="E272" t="str">
            <v>23/09/2013</v>
          </cell>
        </row>
        <row r="273">
          <cell r="A273" t="str">
            <v>70723201AI1</v>
          </cell>
          <cell r="B273">
            <v>0.35</v>
          </cell>
          <cell r="C273" t="str">
            <v>7X13602BAL1</v>
          </cell>
          <cell r="D273">
            <v>94600</v>
          </cell>
          <cell r="E273" t="str">
            <v>23/09/2013</v>
          </cell>
        </row>
        <row r="274">
          <cell r="A274" t="str">
            <v>70723201AM1</v>
          </cell>
          <cell r="B274">
            <v>1.43</v>
          </cell>
          <cell r="C274" t="str">
            <v>70723201AG1</v>
          </cell>
          <cell r="D274">
            <v>94600</v>
          </cell>
          <cell r="E274" t="str">
            <v>23/09/2013</v>
          </cell>
        </row>
        <row r="275">
          <cell r="A275" t="str">
            <v>70781204AG1</v>
          </cell>
          <cell r="B275">
            <v>0.25</v>
          </cell>
          <cell r="C275" t="str">
            <v>70781204AI1</v>
          </cell>
          <cell r="D275">
            <v>94600</v>
          </cell>
          <cell r="E275" t="str">
            <v>23/09/2013</v>
          </cell>
        </row>
        <row r="276">
          <cell r="A276" t="str">
            <v>70781204AI1</v>
          </cell>
          <cell r="B276">
            <v>0.35</v>
          </cell>
          <cell r="C276" t="str">
            <v>70781204AL1</v>
          </cell>
          <cell r="D276">
            <v>94600</v>
          </cell>
          <cell r="E276" t="str">
            <v>23/09/2013</v>
          </cell>
        </row>
        <row r="277">
          <cell r="A277" t="str">
            <v>70781204AM1</v>
          </cell>
          <cell r="B277">
            <v>1.54</v>
          </cell>
          <cell r="C277" t="str">
            <v>70781204AG1</v>
          </cell>
          <cell r="D277">
            <v>94600</v>
          </cell>
          <cell r="E277" t="str">
            <v>23/09/2013</v>
          </cell>
        </row>
        <row r="278">
          <cell r="A278" t="str">
            <v>70781204BM1</v>
          </cell>
          <cell r="B278">
            <v>1.43</v>
          </cell>
          <cell r="C278" t="str">
            <v>70781204AG1</v>
          </cell>
          <cell r="D278">
            <v>94600</v>
          </cell>
          <cell r="E278" t="str">
            <v>23/09/2013</v>
          </cell>
        </row>
        <row r="279">
          <cell r="A279" t="str">
            <v>70781204CG1</v>
          </cell>
          <cell r="B279">
            <v>0.25</v>
          </cell>
          <cell r="C279" t="str">
            <v>70781204CI1</v>
          </cell>
          <cell r="D279">
            <v>94600</v>
          </cell>
          <cell r="E279" t="str">
            <v>23/09/2013</v>
          </cell>
        </row>
        <row r="280">
          <cell r="A280" t="str">
            <v>70781204CI1</v>
          </cell>
          <cell r="B280">
            <v>0.35</v>
          </cell>
          <cell r="C280" t="str">
            <v>70781204CL1</v>
          </cell>
          <cell r="D280">
            <v>94600</v>
          </cell>
          <cell r="E280" t="str">
            <v>23/09/2013</v>
          </cell>
        </row>
        <row r="281">
          <cell r="A281" t="str">
            <v>70781204CM1</v>
          </cell>
          <cell r="B281">
            <v>1.43</v>
          </cell>
          <cell r="C281" t="str">
            <v>70781204CG1</v>
          </cell>
          <cell r="D281">
            <v>94600</v>
          </cell>
          <cell r="E281" t="str">
            <v>23/09/2013</v>
          </cell>
        </row>
        <row r="282">
          <cell r="A282" t="str">
            <v>70781704BG1</v>
          </cell>
          <cell r="B282">
            <v>0.25</v>
          </cell>
          <cell r="C282" t="str">
            <v>70781704BI1</v>
          </cell>
          <cell r="D282">
            <v>94600</v>
          </cell>
          <cell r="E282" t="str">
            <v>23/09/2013</v>
          </cell>
        </row>
        <row r="283">
          <cell r="A283" t="str">
            <v>70781704BI1</v>
          </cell>
          <cell r="B283">
            <v>0.35</v>
          </cell>
          <cell r="C283" t="str">
            <v>70781704BL1</v>
          </cell>
          <cell r="D283">
            <v>94600</v>
          </cell>
          <cell r="E283" t="str">
            <v>23/09/2013</v>
          </cell>
        </row>
        <row r="284">
          <cell r="A284" t="str">
            <v>70781704BM1</v>
          </cell>
          <cell r="B284">
            <v>1.43</v>
          </cell>
          <cell r="C284" t="str">
            <v>70781704BG1</v>
          </cell>
          <cell r="D284">
            <v>94600</v>
          </cell>
          <cell r="E284" t="str">
            <v>23/09/2013</v>
          </cell>
        </row>
        <row r="285">
          <cell r="A285" t="str">
            <v>70781704CG1</v>
          </cell>
          <cell r="B285">
            <v>0.18</v>
          </cell>
          <cell r="C285" t="str">
            <v>70781704CI1</v>
          </cell>
          <cell r="D285">
            <v>94600</v>
          </cell>
          <cell r="E285" t="str">
            <v>23/09/2013</v>
          </cell>
        </row>
        <row r="286">
          <cell r="A286" t="str">
            <v>70781704CI1</v>
          </cell>
          <cell r="B286">
            <v>0.45</v>
          </cell>
          <cell r="C286" t="str">
            <v>70781704CL1</v>
          </cell>
          <cell r="D286">
            <v>94600</v>
          </cell>
          <cell r="E286" t="str">
            <v>23/09/2013</v>
          </cell>
        </row>
        <row r="287">
          <cell r="A287" t="str">
            <v>70781704CM1</v>
          </cell>
          <cell r="B287">
            <v>1.54</v>
          </cell>
          <cell r="C287" t="str">
            <v>70781704CG1</v>
          </cell>
          <cell r="D287">
            <v>94600</v>
          </cell>
          <cell r="E287" t="str">
            <v>23/09/2013</v>
          </cell>
        </row>
        <row r="288">
          <cell r="A288" t="str">
            <v>70781704GG1</v>
          </cell>
          <cell r="B288">
            <v>0.25</v>
          </cell>
          <cell r="C288" t="str">
            <v>70781704GI1</v>
          </cell>
          <cell r="D288">
            <v>94600</v>
          </cell>
          <cell r="E288" t="str">
            <v>23/09/2013</v>
          </cell>
        </row>
        <row r="289">
          <cell r="A289" t="str">
            <v>70781704GI1</v>
          </cell>
          <cell r="B289">
            <v>0.35</v>
          </cell>
          <cell r="C289" t="str">
            <v>70781704GL1</v>
          </cell>
          <cell r="D289">
            <v>94600</v>
          </cell>
          <cell r="E289" t="str">
            <v>23/09/2013</v>
          </cell>
        </row>
        <row r="290">
          <cell r="A290" t="str">
            <v>70781704GM1</v>
          </cell>
          <cell r="B290">
            <v>1.43</v>
          </cell>
          <cell r="C290" t="str">
            <v>70781704GG1</v>
          </cell>
          <cell r="D290">
            <v>94600</v>
          </cell>
          <cell r="E290" t="str">
            <v>23/09/2013</v>
          </cell>
        </row>
        <row r="291">
          <cell r="A291" t="str">
            <v>70781706AG1</v>
          </cell>
          <cell r="B291">
            <v>0.25</v>
          </cell>
          <cell r="C291" t="str">
            <v>70781706AI1</v>
          </cell>
          <cell r="D291">
            <v>94600</v>
          </cell>
          <cell r="E291" t="str">
            <v>23/09/2013</v>
          </cell>
        </row>
        <row r="292">
          <cell r="A292" t="str">
            <v>70781706AI1</v>
          </cell>
          <cell r="B292">
            <v>0.35</v>
          </cell>
          <cell r="C292" t="str">
            <v>70781706AL1</v>
          </cell>
          <cell r="D292">
            <v>94600</v>
          </cell>
          <cell r="E292" t="str">
            <v>23/09/2013</v>
          </cell>
        </row>
        <row r="293">
          <cell r="A293" t="str">
            <v>70781706AM1</v>
          </cell>
          <cell r="B293">
            <v>1.43</v>
          </cell>
          <cell r="C293" t="str">
            <v>70781706AG1</v>
          </cell>
          <cell r="D293">
            <v>94600</v>
          </cell>
          <cell r="E293" t="str">
            <v>23/09/2013</v>
          </cell>
        </row>
        <row r="294">
          <cell r="A294" t="str">
            <v>70781706FM1</v>
          </cell>
          <cell r="B294">
            <v>1.43</v>
          </cell>
          <cell r="C294" t="str">
            <v>70781706AG1</v>
          </cell>
          <cell r="D294">
            <v>94600</v>
          </cell>
          <cell r="E294" t="str">
            <v>23/09/2013</v>
          </cell>
        </row>
        <row r="295">
          <cell r="A295" t="str">
            <v>70781707AG1</v>
          </cell>
          <cell r="B295">
            <v>0.25</v>
          </cell>
          <cell r="C295" t="str">
            <v>70781707AI1</v>
          </cell>
          <cell r="D295">
            <v>94600</v>
          </cell>
          <cell r="E295" t="str">
            <v>23/09/2013</v>
          </cell>
        </row>
        <row r="296">
          <cell r="A296" t="str">
            <v>70781707AI1</v>
          </cell>
          <cell r="B296">
            <v>0.35</v>
          </cell>
          <cell r="C296" t="str">
            <v>70781707AL1</v>
          </cell>
          <cell r="D296">
            <v>94600</v>
          </cell>
          <cell r="E296" t="str">
            <v>23/09/2013</v>
          </cell>
        </row>
        <row r="297">
          <cell r="A297" t="str">
            <v>70781707AM1</v>
          </cell>
          <cell r="B297">
            <v>1.43</v>
          </cell>
          <cell r="C297" t="str">
            <v>70781707AG1</v>
          </cell>
          <cell r="D297">
            <v>94600</v>
          </cell>
          <cell r="E297" t="str">
            <v>23/09/2013</v>
          </cell>
        </row>
        <row r="298">
          <cell r="A298" t="str">
            <v>70782616AG1</v>
          </cell>
          <cell r="B298">
            <v>0.4</v>
          </cell>
          <cell r="C298" t="str">
            <v>70782616AI1</v>
          </cell>
          <cell r="D298">
            <v>94600</v>
          </cell>
          <cell r="E298" t="str">
            <v>23/09/2013</v>
          </cell>
        </row>
        <row r="299">
          <cell r="A299" t="str">
            <v>70782616AI1</v>
          </cell>
          <cell r="B299">
            <v>0.97</v>
          </cell>
          <cell r="C299" t="str">
            <v>70782611AL1</v>
          </cell>
          <cell r="D299">
            <v>94600</v>
          </cell>
          <cell r="E299" t="str">
            <v>23/09/2013</v>
          </cell>
        </row>
        <row r="300">
          <cell r="A300" t="str">
            <v>70782616CM1</v>
          </cell>
          <cell r="B300">
            <v>2.14</v>
          </cell>
          <cell r="C300" t="str">
            <v>70782616AG1</v>
          </cell>
          <cell r="D300">
            <v>94600</v>
          </cell>
          <cell r="E300" t="str">
            <v>23/09/2013</v>
          </cell>
        </row>
        <row r="301">
          <cell r="A301" t="str">
            <v>70783903AG1</v>
          </cell>
          <cell r="B301">
            <v>0.7</v>
          </cell>
          <cell r="C301" t="str">
            <v>70783903AI1</v>
          </cell>
          <cell r="D301">
            <v>94600</v>
          </cell>
          <cell r="E301" t="str">
            <v>23/09/2013</v>
          </cell>
        </row>
        <row r="302">
          <cell r="A302" t="str">
            <v>70783903AI1</v>
          </cell>
          <cell r="B302">
            <v>0</v>
          </cell>
          <cell r="C302" t="str">
            <v>70783903AL1</v>
          </cell>
          <cell r="D302">
            <v>94600</v>
          </cell>
          <cell r="E302" t="str">
            <v>23/09/2013</v>
          </cell>
        </row>
        <row r="303">
          <cell r="A303" t="str">
            <v>70783903LM1</v>
          </cell>
          <cell r="B303">
            <v>2.1</v>
          </cell>
          <cell r="C303" t="str">
            <v>70783903AG1</v>
          </cell>
          <cell r="D303">
            <v>94600</v>
          </cell>
          <cell r="E303" t="str">
            <v>23/09/2013</v>
          </cell>
        </row>
        <row r="304">
          <cell r="A304" t="str">
            <v>70783903OM1</v>
          </cell>
          <cell r="B304">
            <v>0.8</v>
          </cell>
          <cell r="C304" t="str">
            <v>70783903AG1</v>
          </cell>
          <cell r="D304">
            <v>94600</v>
          </cell>
          <cell r="E304" t="str">
            <v>23/09/2013</v>
          </cell>
        </row>
        <row r="305">
          <cell r="A305" t="str">
            <v>70783903QM1</v>
          </cell>
          <cell r="B305">
            <v>2.2999999999999998</v>
          </cell>
          <cell r="C305" t="str">
            <v>70783903AG1</v>
          </cell>
          <cell r="D305">
            <v>94600</v>
          </cell>
          <cell r="E305" t="str">
            <v>23/09/2013</v>
          </cell>
        </row>
        <row r="306">
          <cell r="A306" t="str">
            <v>70784602AG1</v>
          </cell>
          <cell r="B306">
            <v>0.25</v>
          </cell>
          <cell r="C306" t="str">
            <v>70784602AI1</v>
          </cell>
          <cell r="D306">
            <v>94600</v>
          </cell>
          <cell r="E306" t="str">
            <v>23/09/2013</v>
          </cell>
        </row>
        <row r="307">
          <cell r="A307" t="str">
            <v>70784602AI1</v>
          </cell>
          <cell r="B307">
            <v>0.35</v>
          </cell>
          <cell r="C307" t="str">
            <v>7X23207DAL1</v>
          </cell>
          <cell r="D307">
            <v>94600</v>
          </cell>
          <cell r="E307" t="str">
            <v>23/09/2013</v>
          </cell>
        </row>
        <row r="308">
          <cell r="A308" t="str">
            <v>70784602CM1</v>
          </cell>
          <cell r="B308">
            <v>1.43</v>
          </cell>
          <cell r="C308" t="str">
            <v>70784602AG1</v>
          </cell>
          <cell r="D308">
            <v>94600</v>
          </cell>
          <cell r="E308" t="str">
            <v>23/09/2013</v>
          </cell>
        </row>
        <row r="309">
          <cell r="A309" t="str">
            <v>70785302AG1</v>
          </cell>
          <cell r="B309">
            <v>0.25</v>
          </cell>
          <cell r="C309" t="str">
            <v>70785302AI1</v>
          </cell>
          <cell r="D309">
            <v>94600</v>
          </cell>
          <cell r="E309" t="str">
            <v>23/09/2013</v>
          </cell>
        </row>
        <row r="310">
          <cell r="A310" t="str">
            <v>70785302AI1</v>
          </cell>
          <cell r="B310">
            <v>0.35</v>
          </cell>
          <cell r="C310" t="str">
            <v>70785301CL1</v>
          </cell>
          <cell r="D310">
            <v>94600</v>
          </cell>
          <cell r="E310" t="str">
            <v>23/09/2013</v>
          </cell>
        </row>
        <row r="311">
          <cell r="A311" t="str">
            <v>70785302AM1</v>
          </cell>
          <cell r="B311">
            <v>1.43</v>
          </cell>
          <cell r="C311" t="str">
            <v>70785302AG1</v>
          </cell>
          <cell r="D311">
            <v>94600</v>
          </cell>
          <cell r="E311" t="str">
            <v>23/09/2013</v>
          </cell>
        </row>
        <row r="312">
          <cell r="A312" t="str">
            <v>70785403AG1</v>
          </cell>
          <cell r="B312">
            <v>0.19</v>
          </cell>
          <cell r="C312" t="str">
            <v>70785403AI1</v>
          </cell>
          <cell r="D312">
            <v>94600</v>
          </cell>
          <cell r="E312" t="str">
            <v>23/09/2013</v>
          </cell>
        </row>
        <row r="313">
          <cell r="A313" t="str">
            <v>70785403AI1</v>
          </cell>
          <cell r="B313">
            <v>0.34</v>
          </cell>
          <cell r="C313" t="str">
            <v>70785101AL1</v>
          </cell>
          <cell r="D313">
            <v>94600</v>
          </cell>
          <cell r="E313" t="str">
            <v>23/09/2013</v>
          </cell>
        </row>
        <row r="314">
          <cell r="A314" t="str">
            <v>70785403AM1</v>
          </cell>
          <cell r="B314">
            <v>1.82</v>
          </cell>
          <cell r="C314" t="str">
            <v>70785403AG1</v>
          </cell>
          <cell r="D314">
            <v>94600</v>
          </cell>
          <cell r="E314" t="str">
            <v>23/09/2013</v>
          </cell>
        </row>
        <row r="315">
          <cell r="A315" t="str">
            <v>70785801AG1</v>
          </cell>
          <cell r="B315">
            <v>0.2</v>
          </cell>
          <cell r="C315" t="str">
            <v>70785801AI1</v>
          </cell>
          <cell r="D315">
            <v>94600</v>
          </cell>
          <cell r="E315" t="str">
            <v>23/09/2013</v>
          </cell>
        </row>
        <row r="316">
          <cell r="A316" t="str">
            <v>70785801AI1</v>
          </cell>
          <cell r="B316">
            <v>0.5</v>
          </cell>
          <cell r="C316" t="str">
            <v>70785801AL1</v>
          </cell>
          <cell r="D316">
            <v>94600</v>
          </cell>
          <cell r="E316" t="str">
            <v>23/09/2013</v>
          </cell>
        </row>
        <row r="317">
          <cell r="A317" t="str">
            <v>70785801AM1</v>
          </cell>
          <cell r="B317">
            <v>1</v>
          </cell>
          <cell r="C317" t="str">
            <v>70785801AG1</v>
          </cell>
          <cell r="D317">
            <v>94600</v>
          </cell>
          <cell r="E317" t="str">
            <v>23/09/2013</v>
          </cell>
        </row>
        <row r="318">
          <cell r="A318" t="str">
            <v>70841502AI1</v>
          </cell>
          <cell r="B318">
            <v>2</v>
          </cell>
          <cell r="C318" t="str">
            <v>71130101AL1</v>
          </cell>
          <cell r="D318">
            <v>94600</v>
          </cell>
          <cell r="E318" t="str">
            <v>23/09/2013</v>
          </cell>
        </row>
        <row r="319">
          <cell r="A319" t="str">
            <v>70841601AG1</v>
          </cell>
          <cell r="B319">
            <v>0.18</v>
          </cell>
          <cell r="C319" t="str">
            <v>70841601AI1</v>
          </cell>
          <cell r="D319">
            <v>94600</v>
          </cell>
          <cell r="E319" t="str">
            <v>23/09/2013</v>
          </cell>
        </row>
        <row r="320">
          <cell r="A320" t="str">
            <v>70841601AI1</v>
          </cell>
          <cell r="B320">
            <v>0.45</v>
          </cell>
          <cell r="C320" t="str">
            <v>7X12101AAL1</v>
          </cell>
          <cell r="D320">
            <v>94600</v>
          </cell>
          <cell r="E320" t="str">
            <v>23/09/2013</v>
          </cell>
        </row>
        <row r="321">
          <cell r="A321" t="str">
            <v>70841601AM1</v>
          </cell>
          <cell r="B321">
            <v>1.54</v>
          </cell>
          <cell r="C321" t="str">
            <v>70841601AG1</v>
          </cell>
          <cell r="D321">
            <v>94600</v>
          </cell>
          <cell r="E321" t="str">
            <v>23/09/2013</v>
          </cell>
        </row>
        <row r="322">
          <cell r="A322" t="str">
            <v>70841701AG1</v>
          </cell>
          <cell r="B322">
            <v>0.8</v>
          </cell>
          <cell r="C322" t="str">
            <v>70841701AI1</v>
          </cell>
          <cell r="D322">
            <v>94600</v>
          </cell>
          <cell r="E322" t="str">
            <v>23/09/2013</v>
          </cell>
        </row>
        <row r="323">
          <cell r="A323" t="str">
            <v>70841701AI1</v>
          </cell>
          <cell r="B323">
            <v>0</v>
          </cell>
          <cell r="C323" t="str">
            <v>70841701AL1</v>
          </cell>
          <cell r="D323">
            <v>94600</v>
          </cell>
          <cell r="E323" t="str">
            <v>23/09/2013</v>
          </cell>
        </row>
        <row r="324">
          <cell r="A324" t="str">
            <v>70841701AM1</v>
          </cell>
          <cell r="B324">
            <v>2.4</v>
          </cell>
          <cell r="C324" t="str">
            <v>70841701AG1</v>
          </cell>
          <cell r="D324">
            <v>94600</v>
          </cell>
          <cell r="E324" t="str">
            <v>23/09/2013</v>
          </cell>
        </row>
        <row r="325">
          <cell r="A325" t="str">
            <v>70842301AG1</v>
          </cell>
          <cell r="B325">
            <v>0.8</v>
          </cell>
          <cell r="C325" t="str">
            <v>70842301AI1</v>
          </cell>
          <cell r="D325">
            <v>94600</v>
          </cell>
          <cell r="E325" t="str">
            <v>23/09/2013</v>
          </cell>
        </row>
        <row r="326">
          <cell r="A326" t="str">
            <v>70842301AI1</v>
          </cell>
          <cell r="B326">
            <v>0</v>
          </cell>
          <cell r="C326" t="str">
            <v>70842301AL1</v>
          </cell>
          <cell r="D326">
            <v>94600</v>
          </cell>
          <cell r="E326" t="str">
            <v>23/09/2013</v>
          </cell>
        </row>
        <row r="327">
          <cell r="A327" t="str">
            <v>70842301AM1</v>
          </cell>
          <cell r="B327">
            <v>2.2999999999999998</v>
          </cell>
          <cell r="C327" t="str">
            <v>70842301AG1</v>
          </cell>
          <cell r="D327">
            <v>94600</v>
          </cell>
          <cell r="E327" t="str">
            <v>23/09/2013</v>
          </cell>
        </row>
        <row r="328">
          <cell r="A328" t="str">
            <v>70842401AG1</v>
          </cell>
          <cell r="B328">
            <v>0.8</v>
          </cell>
          <cell r="C328" t="str">
            <v>70842401AI1</v>
          </cell>
          <cell r="D328">
            <v>94600</v>
          </cell>
          <cell r="E328" t="str">
            <v>23/09/2013</v>
          </cell>
        </row>
        <row r="329">
          <cell r="A329" t="str">
            <v>70842401AI1</v>
          </cell>
          <cell r="B329">
            <v>0</v>
          </cell>
          <cell r="C329" t="str">
            <v>70842401AL1</v>
          </cell>
          <cell r="D329">
            <v>94600</v>
          </cell>
          <cell r="E329" t="str">
            <v>23/09/2013</v>
          </cell>
        </row>
        <row r="330">
          <cell r="A330" t="str">
            <v>70842401AM1</v>
          </cell>
          <cell r="B330">
            <v>2.2999999999999998</v>
          </cell>
          <cell r="C330" t="str">
            <v>70842401AG1</v>
          </cell>
          <cell r="D330">
            <v>94600</v>
          </cell>
          <cell r="E330" t="str">
            <v>23/09/2013</v>
          </cell>
        </row>
        <row r="331">
          <cell r="A331" t="str">
            <v>70842501AG1</v>
          </cell>
          <cell r="B331">
            <v>0.8</v>
          </cell>
          <cell r="C331" t="str">
            <v>70842501AI1</v>
          </cell>
          <cell r="D331">
            <v>94600</v>
          </cell>
          <cell r="E331" t="str">
            <v>23/09/2013</v>
          </cell>
        </row>
        <row r="332">
          <cell r="A332" t="str">
            <v>70842501AI1</v>
          </cell>
          <cell r="B332">
            <v>0</v>
          </cell>
          <cell r="C332" t="str">
            <v>70842501AL1</v>
          </cell>
          <cell r="D332">
            <v>94600</v>
          </cell>
          <cell r="E332" t="str">
            <v>23/09/2013</v>
          </cell>
        </row>
        <row r="333">
          <cell r="A333" t="str">
            <v>70842501AM1</v>
          </cell>
          <cell r="B333">
            <v>2.2999999999999998</v>
          </cell>
          <cell r="C333" t="str">
            <v>70842501AG1</v>
          </cell>
          <cell r="D333">
            <v>94600</v>
          </cell>
          <cell r="E333" t="str">
            <v>23/09/2013</v>
          </cell>
        </row>
        <row r="334">
          <cell r="A334" t="str">
            <v>70842501BM1</v>
          </cell>
          <cell r="B334">
            <v>2.2999999999999998</v>
          </cell>
          <cell r="C334" t="str">
            <v>70842501AG1</v>
          </cell>
          <cell r="D334">
            <v>94600</v>
          </cell>
          <cell r="E334" t="str">
            <v>23/09/2013</v>
          </cell>
        </row>
        <row r="335">
          <cell r="A335" t="str">
            <v>70842601AG1</v>
          </cell>
          <cell r="B335">
            <v>0.8</v>
          </cell>
          <cell r="C335" t="str">
            <v>70842601AI1</v>
          </cell>
          <cell r="D335">
            <v>94600</v>
          </cell>
          <cell r="E335" t="str">
            <v>23/09/2013</v>
          </cell>
        </row>
        <row r="336">
          <cell r="A336" t="str">
            <v>70842601AI1</v>
          </cell>
          <cell r="B336">
            <v>0</v>
          </cell>
          <cell r="C336" t="str">
            <v>70842601AL1</v>
          </cell>
          <cell r="D336">
            <v>94600</v>
          </cell>
          <cell r="E336" t="str">
            <v>23/09/2013</v>
          </cell>
        </row>
        <row r="337">
          <cell r="A337" t="str">
            <v>70842601AM1</v>
          </cell>
          <cell r="B337">
            <v>2.2999999999999998</v>
          </cell>
          <cell r="C337" t="str">
            <v>70842601AG1</v>
          </cell>
          <cell r="D337">
            <v>94600</v>
          </cell>
          <cell r="E337" t="str">
            <v>23/09/2013</v>
          </cell>
        </row>
        <row r="338">
          <cell r="A338" t="str">
            <v>70842601BG1</v>
          </cell>
          <cell r="B338">
            <v>0.9</v>
          </cell>
          <cell r="C338" t="str">
            <v>70842601BI1</v>
          </cell>
          <cell r="D338">
            <v>94600</v>
          </cell>
          <cell r="E338" t="str">
            <v>23/09/2013</v>
          </cell>
        </row>
        <row r="339">
          <cell r="A339" t="str">
            <v>70842601BI1</v>
          </cell>
          <cell r="B339">
            <v>0</v>
          </cell>
          <cell r="C339" t="str">
            <v>70842601BL1</v>
          </cell>
          <cell r="D339">
            <v>94600</v>
          </cell>
          <cell r="E339" t="str">
            <v>23/09/2013</v>
          </cell>
        </row>
        <row r="340">
          <cell r="A340" t="str">
            <v>70842601BM1</v>
          </cell>
          <cell r="B340">
            <v>2.1</v>
          </cell>
          <cell r="C340" t="str">
            <v>70842601BG1</v>
          </cell>
          <cell r="D340">
            <v>94600</v>
          </cell>
          <cell r="E340" t="str">
            <v>23/09/2013</v>
          </cell>
        </row>
        <row r="341">
          <cell r="A341" t="str">
            <v>70842602AG1</v>
          </cell>
          <cell r="B341">
            <v>0.25</v>
          </cell>
          <cell r="C341" t="str">
            <v>70842602AI1</v>
          </cell>
          <cell r="D341">
            <v>94600</v>
          </cell>
          <cell r="E341" t="str">
            <v>23/09/2013</v>
          </cell>
        </row>
        <row r="342">
          <cell r="A342" t="str">
            <v>70842602AI1</v>
          </cell>
          <cell r="B342">
            <v>0.35</v>
          </cell>
          <cell r="C342" t="str">
            <v>70842601BL1</v>
          </cell>
          <cell r="D342">
            <v>94600</v>
          </cell>
          <cell r="E342" t="str">
            <v>23/09/2013</v>
          </cell>
        </row>
        <row r="343">
          <cell r="A343" t="str">
            <v>70842602AM1</v>
          </cell>
          <cell r="B343">
            <v>1.43</v>
          </cell>
          <cell r="C343" t="str">
            <v>70842602AG1</v>
          </cell>
          <cell r="D343">
            <v>94600</v>
          </cell>
          <cell r="E343" t="str">
            <v>23/09/2013</v>
          </cell>
        </row>
        <row r="344">
          <cell r="A344" t="str">
            <v>70951702AG1</v>
          </cell>
          <cell r="B344">
            <v>0.18</v>
          </cell>
          <cell r="C344" t="str">
            <v>70951702AI1</v>
          </cell>
          <cell r="D344">
            <v>94600</v>
          </cell>
          <cell r="E344" t="str">
            <v>23/09/2013</v>
          </cell>
        </row>
        <row r="345">
          <cell r="A345" t="str">
            <v>70951702AI1</v>
          </cell>
          <cell r="B345">
            <v>0.45</v>
          </cell>
          <cell r="C345" t="str">
            <v>70951702AL1</v>
          </cell>
          <cell r="D345">
            <v>94600</v>
          </cell>
          <cell r="E345" t="str">
            <v>23/09/2013</v>
          </cell>
        </row>
        <row r="346">
          <cell r="A346" t="str">
            <v>70951702GM1</v>
          </cell>
          <cell r="B346">
            <v>0</v>
          </cell>
          <cell r="C346" t="str">
            <v>70951702AG1</v>
          </cell>
          <cell r="D346">
            <v>94600</v>
          </cell>
          <cell r="E346" t="str">
            <v>23/09/2013</v>
          </cell>
        </row>
        <row r="347">
          <cell r="A347" t="str">
            <v>70951703BG1</v>
          </cell>
          <cell r="B347">
            <v>0.8</v>
          </cell>
          <cell r="C347" t="str">
            <v>70951703BI1</v>
          </cell>
          <cell r="D347">
            <v>94600</v>
          </cell>
          <cell r="E347" t="str">
            <v>23/09/2013</v>
          </cell>
        </row>
        <row r="348">
          <cell r="A348" t="str">
            <v>70951703BI1</v>
          </cell>
          <cell r="B348">
            <v>0</v>
          </cell>
          <cell r="C348" t="str">
            <v>7X23207DAL1</v>
          </cell>
          <cell r="D348">
            <v>94600</v>
          </cell>
          <cell r="E348" t="str">
            <v>23/09/2013</v>
          </cell>
        </row>
        <row r="349">
          <cell r="A349" t="str">
            <v>70951703DM1</v>
          </cell>
          <cell r="B349">
            <v>2.1</v>
          </cell>
          <cell r="C349" t="str">
            <v>70951703BG1</v>
          </cell>
          <cell r="D349">
            <v>94600</v>
          </cell>
          <cell r="E349" t="str">
            <v>23/09/2013</v>
          </cell>
        </row>
        <row r="350">
          <cell r="A350" t="str">
            <v>70951703EM1</v>
          </cell>
          <cell r="B350">
            <v>2.1</v>
          </cell>
          <cell r="C350" t="str">
            <v>70951703BG1</v>
          </cell>
          <cell r="D350">
            <v>94600</v>
          </cell>
          <cell r="E350" t="str">
            <v>23/09/2013</v>
          </cell>
        </row>
        <row r="351">
          <cell r="A351" t="str">
            <v>70970801AG1</v>
          </cell>
          <cell r="B351">
            <v>0.25</v>
          </cell>
          <cell r="C351" t="str">
            <v>70970801AI1</v>
          </cell>
          <cell r="D351">
            <v>94600</v>
          </cell>
          <cell r="E351" t="str">
            <v>23/09/2013</v>
          </cell>
        </row>
        <row r="352">
          <cell r="A352" t="str">
            <v>70970801AI1</v>
          </cell>
          <cell r="B352">
            <v>0.35</v>
          </cell>
          <cell r="C352" t="str">
            <v>70970801AL1</v>
          </cell>
          <cell r="D352">
            <v>94600</v>
          </cell>
          <cell r="E352" t="str">
            <v>23/09/2013</v>
          </cell>
        </row>
        <row r="353">
          <cell r="A353" t="str">
            <v>70970801AM1</v>
          </cell>
          <cell r="B353">
            <v>2.4</v>
          </cell>
          <cell r="C353" t="str">
            <v>70970801AG1</v>
          </cell>
          <cell r="D353">
            <v>94600</v>
          </cell>
          <cell r="E353" t="str">
            <v>23/09/2013</v>
          </cell>
        </row>
        <row r="354">
          <cell r="A354" t="str">
            <v>70970801FM1</v>
          </cell>
          <cell r="B354">
            <v>1.43</v>
          </cell>
          <cell r="C354" t="str">
            <v>70970801AG1</v>
          </cell>
          <cell r="D354">
            <v>94600</v>
          </cell>
          <cell r="E354" t="str">
            <v>23/09/2013</v>
          </cell>
        </row>
        <row r="355">
          <cell r="A355" t="str">
            <v>70970804AG1</v>
          </cell>
          <cell r="B355">
            <v>0.18</v>
          </cell>
          <cell r="C355" t="str">
            <v>70970804AI1</v>
          </cell>
          <cell r="D355">
            <v>94600</v>
          </cell>
          <cell r="E355" t="str">
            <v>23/09/2013</v>
          </cell>
        </row>
        <row r="356">
          <cell r="A356" t="str">
            <v>70970804AI1</v>
          </cell>
          <cell r="B356">
            <v>0.45</v>
          </cell>
          <cell r="C356" t="str">
            <v>70970801AL1</v>
          </cell>
          <cell r="D356">
            <v>94600</v>
          </cell>
          <cell r="E356" t="str">
            <v>23/09/2013</v>
          </cell>
        </row>
        <row r="357">
          <cell r="A357" t="str">
            <v>70970804AM1</v>
          </cell>
          <cell r="B357">
            <v>1.54</v>
          </cell>
          <cell r="C357" t="str">
            <v>70970804AG1</v>
          </cell>
          <cell r="D357">
            <v>94600</v>
          </cell>
          <cell r="E357" t="str">
            <v>23/09/2013</v>
          </cell>
        </row>
        <row r="358">
          <cell r="A358" t="str">
            <v>70971801AG1</v>
          </cell>
          <cell r="B358">
            <v>0.8</v>
          </cell>
          <cell r="C358" t="str">
            <v>70971801AI1</v>
          </cell>
          <cell r="D358">
            <v>94600</v>
          </cell>
          <cell r="E358" t="str">
            <v>23/09/2013</v>
          </cell>
        </row>
        <row r="359">
          <cell r="A359" t="str">
            <v>70971801AI1</v>
          </cell>
          <cell r="B359">
            <v>0</v>
          </cell>
          <cell r="C359" t="str">
            <v>70971801AL1</v>
          </cell>
          <cell r="D359">
            <v>94600</v>
          </cell>
          <cell r="E359" t="str">
            <v>23/09/2013</v>
          </cell>
        </row>
        <row r="360">
          <cell r="A360" t="str">
            <v>70971801AM1</v>
          </cell>
          <cell r="B360">
            <v>1.9</v>
          </cell>
          <cell r="C360" t="str">
            <v>70971801AG1</v>
          </cell>
          <cell r="D360">
            <v>94600</v>
          </cell>
          <cell r="E360" t="str">
            <v>23/09/2013</v>
          </cell>
        </row>
        <row r="361">
          <cell r="A361" t="str">
            <v>70971801CG1</v>
          </cell>
          <cell r="B361">
            <v>0</v>
          </cell>
          <cell r="C361" t="str">
            <v>70971801CI1</v>
          </cell>
          <cell r="D361">
            <v>94600</v>
          </cell>
          <cell r="E361" t="str">
            <v>23/09/2013</v>
          </cell>
        </row>
        <row r="362">
          <cell r="A362" t="str">
            <v>70971801CI1</v>
          </cell>
          <cell r="B362">
            <v>0</v>
          </cell>
          <cell r="C362" t="str">
            <v>70971801CL1</v>
          </cell>
          <cell r="D362">
            <v>94600</v>
          </cell>
          <cell r="E362" t="str">
            <v>23/09/2013</v>
          </cell>
        </row>
        <row r="363">
          <cell r="A363" t="str">
            <v>70971801CM1</v>
          </cell>
          <cell r="B363">
            <v>2.1</v>
          </cell>
          <cell r="C363" t="str">
            <v>70971801CG1</v>
          </cell>
          <cell r="D363">
            <v>94600</v>
          </cell>
          <cell r="E363" t="str">
            <v>23/09/2013</v>
          </cell>
        </row>
        <row r="364">
          <cell r="A364" t="str">
            <v>70971803AG1</v>
          </cell>
          <cell r="B364">
            <v>0.18</v>
          </cell>
          <cell r="C364" t="str">
            <v>70971803AI1</v>
          </cell>
          <cell r="D364">
            <v>94600</v>
          </cell>
          <cell r="E364" t="str">
            <v>23/09/2013</v>
          </cell>
        </row>
        <row r="365">
          <cell r="A365" t="str">
            <v>70971803AI1</v>
          </cell>
          <cell r="B365">
            <v>0.45</v>
          </cell>
          <cell r="C365" t="str">
            <v>70971801AL1</v>
          </cell>
          <cell r="D365">
            <v>94600</v>
          </cell>
          <cell r="E365" t="str">
            <v>23/09/2013</v>
          </cell>
        </row>
        <row r="366">
          <cell r="A366" t="str">
            <v>70971803BM1</v>
          </cell>
          <cell r="B366">
            <v>1.54</v>
          </cell>
          <cell r="C366" t="str">
            <v>70971803AG1</v>
          </cell>
          <cell r="D366">
            <v>94600</v>
          </cell>
          <cell r="E366" t="str">
            <v>23/09/2013</v>
          </cell>
        </row>
        <row r="367">
          <cell r="A367" t="str">
            <v>70971803CG1</v>
          </cell>
          <cell r="B367">
            <v>0.25</v>
          </cell>
          <cell r="C367" t="str">
            <v>70971803CI1</v>
          </cell>
          <cell r="D367">
            <v>94600</v>
          </cell>
          <cell r="E367" t="str">
            <v>23/09/2013</v>
          </cell>
        </row>
        <row r="368">
          <cell r="A368" t="str">
            <v>70971803CI1</v>
          </cell>
          <cell r="B368">
            <v>0.35</v>
          </cell>
          <cell r="C368" t="str">
            <v>70971801CL1</v>
          </cell>
          <cell r="D368">
            <v>94600</v>
          </cell>
          <cell r="E368" t="str">
            <v>23/09/2013</v>
          </cell>
        </row>
        <row r="369">
          <cell r="A369" t="str">
            <v>70971803CM1</v>
          </cell>
          <cell r="B369">
            <v>1.43</v>
          </cell>
          <cell r="C369" t="str">
            <v>70971803CG1</v>
          </cell>
          <cell r="D369">
            <v>94600</v>
          </cell>
          <cell r="E369" t="str">
            <v>23/09/2013</v>
          </cell>
        </row>
        <row r="370">
          <cell r="A370" t="str">
            <v>70RD12101AG1</v>
          </cell>
          <cell r="B370">
            <v>1.2</v>
          </cell>
          <cell r="C370" t="str">
            <v>70RD12101AI1</v>
          </cell>
          <cell r="D370">
            <v>94600</v>
          </cell>
          <cell r="E370" t="str">
            <v>23/09/2013</v>
          </cell>
        </row>
        <row r="371">
          <cell r="A371" t="str">
            <v>70RD12101AI1</v>
          </cell>
          <cell r="B371">
            <v>0</v>
          </cell>
          <cell r="C371" t="str">
            <v>70RD12103AL1</v>
          </cell>
          <cell r="D371">
            <v>94600</v>
          </cell>
          <cell r="E371" t="str">
            <v>23/09/2013</v>
          </cell>
        </row>
        <row r="372">
          <cell r="A372" t="str">
            <v>70RD12104AG1</v>
          </cell>
          <cell r="B372">
            <v>2</v>
          </cell>
          <cell r="C372" t="str">
            <v>70RD12104AI1</v>
          </cell>
          <cell r="D372">
            <v>94600</v>
          </cell>
          <cell r="E372" t="str">
            <v>23/09/2013</v>
          </cell>
        </row>
        <row r="373">
          <cell r="A373" t="str">
            <v>70RD12104AI1</v>
          </cell>
          <cell r="B373">
            <v>0</v>
          </cell>
          <cell r="C373" t="str">
            <v>70RD12103AL1</v>
          </cell>
          <cell r="D373">
            <v>94600</v>
          </cell>
          <cell r="E373" t="str">
            <v>23/09/2013</v>
          </cell>
        </row>
        <row r="374">
          <cell r="A374" t="str">
            <v>71020302CG1</v>
          </cell>
          <cell r="B374">
            <v>0.2</v>
          </cell>
          <cell r="C374" t="str">
            <v>71020302CI1</v>
          </cell>
          <cell r="D374">
            <v>94600</v>
          </cell>
          <cell r="E374" t="str">
            <v>23/09/2013</v>
          </cell>
        </row>
        <row r="375">
          <cell r="A375" t="str">
            <v>71020302CI1</v>
          </cell>
          <cell r="B375">
            <v>0.5</v>
          </cell>
          <cell r="C375" t="str">
            <v>71020302CL1</v>
          </cell>
          <cell r="D375">
            <v>94600</v>
          </cell>
          <cell r="E375" t="str">
            <v>23/09/2013</v>
          </cell>
        </row>
        <row r="376">
          <cell r="A376" t="str">
            <v>71020302CM1</v>
          </cell>
          <cell r="B376">
            <v>1</v>
          </cell>
          <cell r="C376" t="str">
            <v>71020302CG1</v>
          </cell>
          <cell r="D376">
            <v>94600</v>
          </cell>
          <cell r="E376" t="str">
            <v>23/09/2013</v>
          </cell>
        </row>
        <row r="377">
          <cell r="A377" t="str">
            <v>71020302DG1</v>
          </cell>
          <cell r="B377">
            <v>0.25</v>
          </cell>
          <cell r="C377" t="str">
            <v>71020302DI1</v>
          </cell>
          <cell r="D377">
            <v>94600</v>
          </cell>
          <cell r="E377" t="str">
            <v>23/09/2013</v>
          </cell>
        </row>
        <row r="378">
          <cell r="A378" t="str">
            <v>71020302DI1</v>
          </cell>
          <cell r="B378">
            <v>0.35</v>
          </cell>
          <cell r="C378" t="str">
            <v>71020302DL1</v>
          </cell>
          <cell r="D378">
            <v>94600</v>
          </cell>
          <cell r="E378" t="str">
            <v>23/09/2013</v>
          </cell>
        </row>
        <row r="379">
          <cell r="A379" t="str">
            <v>71020302DM1</v>
          </cell>
          <cell r="B379">
            <v>1.43</v>
          </cell>
          <cell r="C379" t="str">
            <v>71020302DG1</v>
          </cell>
          <cell r="D379">
            <v>94600</v>
          </cell>
          <cell r="E379" t="str">
            <v>23/09/2013</v>
          </cell>
        </row>
        <row r="380">
          <cell r="A380" t="str">
            <v>71030101AG1</v>
          </cell>
          <cell r="B380">
            <v>0.8</v>
          </cell>
          <cell r="C380" t="str">
            <v>71030101AI1</v>
          </cell>
          <cell r="D380">
            <v>94600</v>
          </cell>
          <cell r="E380" t="str">
            <v>23/09/2013</v>
          </cell>
        </row>
        <row r="381">
          <cell r="A381" t="str">
            <v>71030101AI1</v>
          </cell>
          <cell r="B381">
            <v>0</v>
          </cell>
          <cell r="C381" t="str">
            <v>7X13701AAL1</v>
          </cell>
          <cell r="D381">
            <v>94600</v>
          </cell>
          <cell r="E381" t="str">
            <v>23/09/2013</v>
          </cell>
        </row>
        <row r="382">
          <cell r="A382" t="str">
            <v>71030101AM1</v>
          </cell>
          <cell r="B382">
            <v>2.4</v>
          </cell>
          <cell r="C382" t="str">
            <v>71030101AG1</v>
          </cell>
          <cell r="D382">
            <v>94600</v>
          </cell>
          <cell r="E382" t="str">
            <v>23/09/2013</v>
          </cell>
        </row>
        <row r="383">
          <cell r="A383" t="str">
            <v>71090301AG1</v>
          </cell>
          <cell r="B383">
            <v>0.25</v>
          </cell>
          <cell r="C383" t="str">
            <v>71090301AI1</v>
          </cell>
          <cell r="D383">
            <v>94600</v>
          </cell>
          <cell r="E383" t="str">
            <v>23/09/2013</v>
          </cell>
        </row>
        <row r="384">
          <cell r="A384" t="str">
            <v>71090301AI1</v>
          </cell>
          <cell r="B384">
            <v>0.35</v>
          </cell>
          <cell r="C384" t="str">
            <v>71090301AL1</v>
          </cell>
          <cell r="D384">
            <v>94600</v>
          </cell>
          <cell r="E384" t="str">
            <v>23/09/2013</v>
          </cell>
        </row>
        <row r="385">
          <cell r="A385" t="str">
            <v>71090301AM1</v>
          </cell>
          <cell r="B385">
            <v>1.43</v>
          </cell>
          <cell r="C385" t="str">
            <v>71090301AG1</v>
          </cell>
          <cell r="D385">
            <v>94600</v>
          </cell>
          <cell r="E385" t="str">
            <v>23/09/2013</v>
          </cell>
        </row>
        <row r="386">
          <cell r="A386" t="str">
            <v>71090401AG1</v>
          </cell>
          <cell r="B386">
            <v>0.7</v>
          </cell>
          <cell r="C386" t="str">
            <v>71090401AI1</v>
          </cell>
          <cell r="D386">
            <v>94600</v>
          </cell>
          <cell r="E386" t="str">
            <v>23/09/2013</v>
          </cell>
        </row>
        <row r="387">
          <cell r="A387" t="str">
            <v>71090401AI1</v>
          </cell>
          <cell r="B387">
            <v>0</v>
          </cell>
          <cell r="C387" t="str">
            <v>71090401AL1</v>
          </cell>
          <cell r="D387">
            <v>94600</v>
          </cell>
          <cell r="E387" t="str">
            <v>23/09/2013</v>
          </cell>
        </row>
        <row r="388">
          <cell r="A388" t="str">
            <v>71090401AM1</v>
          </cell>
          <cell r="B388">
            <v>2.1</v>
          </cell>
          <cell r="C388" t="str">
            <v>71090401AG1</v>
          </cell>
          <cell r="D388">
            <v>94600</v>
          </cell>
          <cell r="E388" t="str">
            <v>23/09/2013</v>
          </cell>
        </row>
        <row r="389">
          <cell r="A389" t="str">
            <v>71090402AG1</v>
          </cell>
          <cell r="B389">
            <v>0.25</v>
          </cell>
          <cell r="C389" t="str">
            <v>71090402AI1</v>
          </cell>
          <cell r="D389">
            <v>94600</v>
          </cell>
          <cell r="E389" t="str">
            <v>23/09/2013</v>
          </cell>
        </row>
        <row r="390">
          <cell r="A390" t="str">
            <v>71090402AI1</v>
          </cell>
          <cell r="B390">
            <v>0.35</v>
          </cell>
          <cell r="C390" t="str">
            <v>71090402AL1</v>
          </cell>
          <cell r="D390">
            <v>94600</v>
          </cell>
          <cell r="E390" t="str">
            <v>23/09/2013</v>
          </cell>
        </row>
        <row r="391">
          <cell r="A391" t="str">
            <v>71090402AM1</v>
          </cell>
          <cell r="B391">
            <v>1.43</v>
          </cell>
          <cell r="C391" t="str">
            <v>71090402AG1</v>
          </cell>
          <cell r="D391">
            <v>94600</v>
          </cell>
          <cell r="E391" t="str">
            <v>23/09/2013</v>
          </cell>
        </row>
        <row r="392">
          <cell r="A392" t="str">
            <v>71090402BG1</v>
          </cell>
          <cell r="B392">
            <v>0.2</v>
          </cell>
          <cell r="C392" t="str">
            <v>71090402BI1</v>
          </cell>
          <cell r="D392">
            <v>94600</v>
          </cell>
          <cell r="E392" t="str">
            <v>23/09/2013</v>
          </cell>
        </row>
        <row r="393">
          <cell r="A393" t="str">
            <v>71090402BI1</v>
          </cell>
          <cell r="B393">
            <v>0.5</v>
          </cell>
          <cell r="C393" t="str">
            <v>71090402BL1</v>
          </cell>
          <cell r="D393">
            <v>94600</v>
          </cell>
          <cell r="E393" t="str">
            <v>23/09/2013</v>
          </cell>
        </row>
        <row r="394">
          <cell r="A394" t="str">
            <v>71090402BM1</v>
          </cell>
          <cell r="B394">
            <v>1</v>
          </cell>
          <cell r="C394" t="str">
            <v>71090402BG1</v>
          </cell>
          <cell r="D394">
            <v>94600</v>
          </cell>
          <cell r="E394" t="str">
            <v>23/09/2013</v>
          </cell>
        </row>
        <row r="395">
          <cell r="A395" t="str">
            <v>71090402CM1</v>
          </cell>
          <cell r="B395">
            <v>1.43</v>
          </cell>
          <cell r="C395" t="str">
            <v>71090402AG1</v>
          </cell>
          <cell r="D395">
            <v>94600</v>
          </cell>
          <cell r="E395" t="str">
            <v>23/09/2013</v>
          </cell>
        </row>
        <row r="396">
          <cell r="A396" t="str">
            <v>71090501AG1</v>
          </cell>
          <cell r="B396">
            <v>0.25</v>
          </cell>
          <cell r="C396" t="str">
            <v>71090501AI1</v>
          </cell>
          <cell r="D396">
            <v>94600</v>
          </cell>
          <cell r="E396" t="str">
            <v>23/09/2013</v>
          </cell>
        </row>
        <row r="397">
          <cell r="A397" t="str">
            <v>71090501AI1</v>
          </cell>
          <cell r="B397">
            <v>0.35</v>
          </cell>
          <cell r="C397" t="str">
            <v>7X16003EAL1</v>
          </cell>
          <cell r="D397">
            <v>94600</v>
          </cell>
          <cell r="E397" t="str">
            <v>23/09/2013</v>
          </cell>
        </row>
        <row r="398">
          <cell r="A398" t="str">
            <v>71090501AM1</v>
          </cell>
          <cell r="B398">
            <v>1</v>
          </cell>
          <cell r="C398" t="str">
            <v>71090501AG1</v>
          </cell>
          <cell r="D398">
            <v>94600</v>
          </cell>
          <cell r="E398" t="str">
            <v>23/09/2013</v>
          </cell>
        </row>
        <row r="399">
          <cell r="A399" t="str">
            <v>71090501BM1</v>
          </cell>
          <cell r="B399">
            <v>1.43</v>
          </cell>
          <cell r="C399" t="str">
            <v>71090501AG1</v>
          </cell>
          <cell r="D399">
            <v>94600</v>
          </cell>
          <cell r="E399" t="str">
            <v>23/09/2013</v>
          </cell>
        </row>
        <row r="400">
          <cell r="A400" t="str">
            <v>71090501CM1</v>
          </cell>
          <cell r="B400">
            <v>1.43</v>
          </cell>
          <cell r="C400" t="str">
            <v>71090501AG1</v>
          </cell>
          <cell r="D400">
            <v>94600</v>
          </cell>
          <cell r="E400" t="str">
            <v>23/09/2013</v>
          </cell>
        </row>
        <row r="401">
          <cell r="A401" t="str">
            <v>71090601AG1</v>
          </cell>
          <cell r="B401">
            <v>0.4</v>
          </cell>
          <cell r="C401" t="str">
            <v>71090601AI1</v>
          </cell>
          <cell r="D401">
            <v>94600</v>
          </cell>
          <cell r="E401" t="str">
            <v>23/09/2013</v>
          </cell>
        </row>
        <row r="402">
          <cell r="A402" t="str">
            <v>71090601AI1</v>
          </cell>
          <cell r="B402">
            <v>0.97</v>
          </cell>
          <cell r="C402" t="str">
            <v>71090601AL1</v>
          </cell>
          <cell r="D402">
            <v>94600</v>
          </cell>
          <cell r="E402" t="str">
            <v>23/09/2013</v>
          </cell>
        </row>
        <row r="403">
          <cell r="A403" t="str">
            <v>71090601AM1</v>
          </cell>
          <cell r="B403">
            <v>2.14</v>
          </cell>
          <cell r="C403" t="str">
            <v>71090601AG1</v>
          </cell>
          <cell r="D403">
            <v>94600</v>
          </cell>
          <cell r="E403" t="str">
            <v>23/09/2013</v>
          </cell>
        </row>
        <row r="404">
          <cell r="A404" t="str">
            <v>71110102AG1</v>
          </cell>
          <cell r="B404">
            <v>0.7</v>
          </cell>
          <cell r="C404" t="str">
            <v>71110102AI1</v>
          </cell>
          <cell r="D404">
            <v>94600</v>
          </cell>
          <cell r="E404" t="str">
            <v>23/09/2013</v>
          </cell>
        </row>
        <row r="405">
          <cell r="A405" t="str">
            <v>71110102AI1</v>
          </cell>
          <cell r="B405">
            <v>0</v>
          </cell>
          <cell r="C405" t="str">
            <v>71110102AL1</v>
          </cell>
          <cell r="D405">
            <v>94600</v>
          </cell>
          <cell r="E405" t="str">
            <v>23/09/2013</v>
          </cell>
        </row>
        <row r="406">
          <cell r="A406" t="str">
            <v>71110102AM1</v>
          </cell>
          <cell r="B406">
            <v>2.1</v>
          </cell>
          <cell r="C406" t="str">
            <v>71110102AG1</v>
          </cell>
          <cell r="D406">
            <v>94600</v>
          </cell>
          <cell r="E406" t="str">
            <v>23/09/2013</v>
          </cell>
        </row>
        <row r="407">
          <cell r="A407" t="str">
            <v>71160103AG1</v>
          </cell>
          <cell r="B407">
            <v>0.4</v>
          </cell>
          <cell r="C407" t="str">
            <v>71160103AI1</v>
          </cell>
          <cell r="D407">
            <v>94600</v>
          </cell>
          <cell r="E407" t="str">
            <v>23/09/2013</v>
          </cell>
        </row>
        <row r="408">
          <cell r="A408" t="str">
            <v>71160103AI1</v>
          </cell>
          <cell r="B408">
            <v>0.97</v>
          </cell>
          <cell r="C408" t="str">
            <v>71160103AL1</v>
          </cell>
          <cell r="D408">
            <v>94600</v>
          </cell>
          <cell r="E408" t="str">
            <v>23/09/2013</v>
          </cell>
        </row>
        <row r="409">
          <cell r="A409" t="str">
            <v>71160103AM1</v>
          </cell>
          <cell r="B409">
            <v>2.14</v>
          </cell>
          <cell r="C409" t="str">
            <v>71160103AG1</v>
          </cell>
          <cell r="D409">
            <v>94600</v>
          </cell>
          <cell r="E409" t="str">
            <v>23/09/2013</v>
          </cell>
        </row>
        <row r="410">
          <cell r="A410" t="str">
            <v>71230201AG1</v>
          </cell>
          <cell r="B410">
            <v>0.5</v>
          </cell>
          <cell r="C410" t="str">
            <v>71230201AI1</v>
          </cell>
          <cell r="D410">
            <v>94600</v>
          </cell>
          <cell r="E410" t="str">
            <v>23/09/2013</v>
          </cell>
        </row>
        <row r="411">
          <cell r="A411" t="str">
            <v>71230201AI1</v>
          </cell>
          <cell r="B411">
            <v>0</v>
          </cell>
          <cell r="C411" t="str">
            <v>7X23207DAL1</v>
          </cell>
          <cell r="D411">
            <v>94600</v>
          </cell>
          <cell r="E411" t="str">
            <v>23/09/2013</v>
          </cell>
        </row>
        <row r="412">
          <cell r="A412" t="str">
            <v>71230201AM1</v>
          </cell>
          <cell r="B412">
            <v>1</v>
          </cell>
          <cell r="C412" t="str">
            <v>71230201AG1</v>
          </cell>
          <cell r="D412">
            <v>94600</v>
          </cell>
          <cell r="E412" t="str">
            <v>23/09/2013</v>
          </cell>
        </row>
        <row r="413">
          <cell r="A413" t="str">
            <v>71230202AG1</v>
          </cell>
          <cell r="B413">
            <v>0.5</v>
          </cell>
          <cell r="C413" t="str">
            <v>71230202AI1</v>
          </cell>
          <cell r="D413">
            <v>94600</v>
          </cell>
          <cell r="E413" t="str">
            <v>23/09/2013</v>
          </cell>
        </row>
        <row r="414">
          <cell r="A414" t="str">
            <v>71230202AI1</v>
          </cell>
          <cell r="B414">
            <v>0.2</v>
          </cell>
          <cell r="C414" t="str">
            <v>7X22002HAL1</v>
          </cell>
          <cell r="D414">
            <v>94600</v>
          </cell>
          <cell r="E414" t="str">
            <v>23/09/2013</v>
          </cell>
        </row>
        <row r="415">
          <cell r="A415" t="str">
            <v>71230202AM1</v>
          </cell>
          <cell r="B415">
            <v>1</v>
          </cell>
          <cell r="C415" t="str">
            <v>71230202AG1</v>
          </cell>
          <cell r="D415">
            <v>94600</v>
          </cell>
          <cell r="E415" t="str">
            <v>23/09/2013</v>
          </cell>
        </row>
        <row r="416">
          <cell r="A416" t="str">
            <v>71320101AG1</v>
          </cell>
          <cell r="B416">
            <v>0.4</v>
          </cell>
          <cell r="C416" t="str">
            <v>71320201AI1</v>
          </cell>
          <cell r="D416">
            <v>94600</v>
          </cell>
          <cell r="E416" t="str">
            <v>23/09/2013</v>
          </cell>
        </row>
        <row r="417">
          <cell r="A417" t="str">
            <v>71320101AI1</v>
          </cell>
          <cell r="B417">
            <v>0.97</v>
          </cell>
          <cell r="C417" t="str">
            <v>7X33207AAL1</v>
          </cell>
          <cell r="D417">
            <v>94600</v>
          </cell>
          <cell r="E417" t="str">
            <v>23/09/2013</v>
          </cell>
        </row>
        <row r="418">
          <cell r="A418" t="str">
            <v>71320101AM1</v>
          </cell>
          <cell r="B418">
            <v>2.14</v>
          </cell>
          <cell r="C418" t="str">
            <v>71320101AG1</v>
          </cell>
          <cell r="D418">
            <v>94600</v>
          </cell>
          <cell r="E418" t="str">
            <v>23/09/2013</v>
          </cell>
        </row>
        <row r="419">
          <cell r="A419" t="str">
            <v>71320102AG1</v>
          </cell>
          <cell r="B419">
            <v>0.4</v>
          </cell>
          <cell r="C419" t="str">
            <v>71320101AI1</v>
          </cell>
          <cell r="D419">
            <v>94600</v>
          </cell>
          <cell r="E419" t="str">
            <v>23/09/2013</v>
          </cell>
        </row>
        <row r="420">
          <cell r="A420" t="str">
            <v>71320102AI1</v>
          </cell>
          <cell r="B420">
            <v>0.5</v>
          </cell>
          <cell r="C420" t="str">
            <v>7X33207AAL1</v>
          </cell>
          <cell r="D420">
            <v>94600</v>
          </cell>
          <cell r="E420" t="str">
            <v>23/09/2013</v>
          </cell>
        </row>
        <row r="421">
          <cell r="A421" t="str">
            <v>71320102AM1</v>
          </cell>
          <cell r="B421">
            <v>2.14</v>
          </cell>
          <cell r="C421" t="str">
            <v>71320102AG1</v>
          </cell>
          <cell r="D421">
            <v>94600</v>
          </cell>
          <cell r="E421" t="str">
            <v>23/09/2013</v>
          </cell>
        </row>
        <row r="422">
          <cell r="A422" t="str">
            <v>71320201AG1</v>
          </cell>
          <cell r="B422">
            <v>0.4</v>
          </cell>
          <cell r="C422" t="str">
            <v>71320101AI1</v>
          </cell>
          <cell r="D422">
            <v>94600</v>
          </cell>
          <cell r="E422" t="str">
            <v>23/09/2013</v>
          </cell>
        </row>
        <row r="423">
          <cell r="A423" t="str">
            <v>71320201AI1</v>
          </cell>
          <cell r="B423">
            <v>0.97</v>
          </cell>
          <cell r="C423" t="str">
            <v>7X33207AAL1</v>
          </cell>
          <cell r="D423">
            <v>94600</v>
          </cell>
          <cell r="E423" t="str">
            <v>23/09/2013</v>
          </cell>
        </row>
        <row r="424">
          <cell r="A424" t="str">
            <v>71320201AM1</v>
          </cell>
          <cell r="B424">
            <v>2.14</v>
          </cell>
          <cell r="C424" t="str">
            <v>71320201AG1</v>
          </cell>
          <cell r="D424">
            <v>94600</v>
          </cell>
          <cell r="E424" t="str">
            <v>23/09/2013</v>
          </cell>
        </row>
        <row r="425">
          <cell r="A425" t="str">
            <v>71380101AG1</v>
          </cell>
          <cell r="B425">
            <v>0.4</v>
          </cell>
          <cell r="C425" t="str">
            <v>71380101AI1</v>
          </cell>
          <cell r="D425">
            <v>94600</v>
          </cell>
          <cell r="E425" t="str">
            <v>23/09/2013</v>
          </cell>
        </row>
        <row r="426">
          <cell r="A426" t="str">
            <v>71380101AI1</v>
          </cell>
          <cell r="B426">
            <v>0.97</v>
          </cell>
          <cell r="C426" t="str">
            <v>70723001AL1</v>
          </cell>
          <cell r="D426">
            <v>94600</v>
          </cell>
          <cell r="E426" t="str">
            <v>23/09/2013</v>
          </cell>
        </row>
        <row r="427">
          <cell r="A427" t="str">
            <v>71380101AM1</v>
          </cell>
          <cell r="B427">
            <v>2.14</v>
          </cell>
          <cell r="C427" t="str">
            <v>71380101AG1</v>
          </cell>
          <cell r="D427">
            <v>94600</v>
          </cell>
          <cell r="E427" t="str">
            <v>23/09/2013</v>
          </cell>
        </row>
        <row r="428">
          <cell r="A428" t="str">
            <v>71380101BM1</v>
          </cell>
          <cell r="B428">
            <v>2.14</v>
          </cell>
          <cell r="C428" t="str">
            <v>71380101AG1</v>
          </cell>
          <cell r="D428">
            <v>94600</v>
          </cell>
          <cell r="E428" t="str">
            <v>23/09/2013</v>
          </cell>
        </row>
        <row r="429">
          <cell r="A429" t="str">
            <v>71400101BG1</v>
          </cell>
          <cell r="B429">
            <v>0.25</v>
          </cell>
          <cell r="C429" t="str">
            <v>71400101BI1</v>
          </cell>
          <cell r="D429">
            <v>94600</v>
          </cell>
          <cell r="E429" t="str">
            <v>23/09/2013</v>
          </cell>
        </row>
        <row r="430">
          <cell r="A430" t="str">
            <v>71400101BI1</v>
          </cell>
          <cell r="B430">
            <v>0.35</v>
          </cell>
          <cell r="C430" t="str">
            <v>71400101BL1</v>
          </cell>
          <cell r="D430">
            <v>94600</v>
          </cell>
          <cell r="E430" t="str">
            <v>23/09/2013</v>
          </cell>
        </row>
        <row r="431">
          <cell r="A431" t="str">
            <v>71400101BM1</v>
          </cell>
          <cell r="B431">
            <v>1.43</v>
          </cell>
          <cell r="C431" t="str">
            <v>71400101BG1</v>
          </cell>
          <cell r="D431">
            <v>94600</v>
          </cell>
          <cell r="E431" t="str">
            <v>23/09/2013</v>
          </cell>
        </row>
        <row r="432">
          <cell r="A432" t="str">
            <v>7X12106AAG1</v>
          </cell>
          <cell r="B432">
            <v>0.25</v>
          </cell>
          <cell r="C432" t="str">
            <v>7X12106AAI1</v>
          </cell>
          <cell r="D432">
            <v>94600</v>
          </cell>
          <cell r="E432" t="str">
            <v>23/09/2013</v>
          </cell>
        </row>
        <row r="433">
          <cell r="A433" t="str">
            <v>7X12106AAI1</v>
          </cell>
          <cell r="B433">
            <v>0.35</v>
          </cell>
          <cell r="C433" t="str">
            <v>7X12101AAL1</v>
          </cell>
          <cell r="D433">
            <v>94600</v>
          </cell>
          <cell r="E433" t="str">
            <v>23/09/2013</v>
          </cell>
        </row>
        <row r="434">
          <cell r="A434" t="str">
            <v>7X12106AAM1</v>
          </cell>
          <cell r="B434">
            <v>1.54</v>
          </cell>
          <cell r="C434" t="str">
            <v>7X12106AAG1</v>
          </cell>
          <cell r="D434">
            <v>94600</v>
          </cell>
          <cell r="E434" t="str">
            <v>23/09/2013</v>
          </cell>
        </row>
        <row r="435">
          <cell r="A435" t="str">
            <v>7X12106JAM1</v>
          </cell>
          <cell r="B435">
            <v>1.54</v>
          </cell>
          <cell r="C435" t="str">
            <v>7X12106AAG1</v>
          </cell>
          <cell r="D435">
            <v>94600</v>
          </cell>
          <cell r="E435" t="str">
            <v>23/09/2013</v>
          </cell>
        </row>
        <row r="436">
          <cell r="A436" t="str">
            <v>7X12106KAG1</v>
          </cell>
          <cell r="B436">
            <v>0.25</v>
          </cell>
          <cell r="C436" t="str">
            <v>7X12106KAI1</v>
          </cell>
          <cell r="D436">
            <v>94600</v>
          </cell>
          <cell r="E436" t="str">
            <v>23/09/2013</v>
          </cell>
        </row>
        <row r="437">
          <cell r="A437" t="str">
            <v>7X12106KAI1</v>
          </cell>
          <cell r="B437">
            <v>0.35</v>
          </cell>
          <cell r="C437" t="str">
            <v>7X12106KAL1</v>
          </cell>
          <cell r="D437">
            <v>94600</v>
          </cell>
          <cell r="E437" t="str">
            <v>23/09/2013</v>
          </cell>
        </row>
        <row r="438">
          <cell r="A438" t="str">
            <v>7X12106KAM1</v>
          </cell>
          <cell r="B438">
            <v>1.43</v>
          </cell>
          <cell r="C438" t="str">
            <v>7X12106KAG1</v>
          </cell>
          <cell r="D438">
            <v>94600</v>
          </cell>
          <cell r="E438" t="str">
            <v>23/09/2013</v>
          </cell>
        </row>
        <row r="439">
          <cell r="A439" t="str">
            <v>7X12106KAM2</v>
          </cell>
          <cell r="B439">
            <v>2.1</v>
          </cell>
          <cell r="C439" t="str">
            <v>7X12106KAG1</v>
          </cell>
          <cell r="D439">
            <v>94600</v>
          </cell>
          <cell r="E439" t="str">
            <v>23/09/2013</v>
          </cell>
        </row>
        <row r="440">
          <cell r="A440" t="str">
            <v>7X12106MAM1</v>
          </cell>
          <cell r="B440">
            <v>1.43</v>
          </cell>
          <cell r="C440" t="str">
            <v>7X12106AAG1</v>
          </cell>
          <cell r="D440">
            <v>94600</v>
          </cell>
          <cell r="E440" t="str">
            <v>23/09/2013</v>
          </cell>
        </row>
        <row r="441">
          <cell r="A441" t="str">
            <v>7X12106MAM2</v>
          </cell>
          <cell r="B441">
            <v>2.1</v>
          </cell>
          <cell r="C441" t="str">
            <v>7X12106AAG1</v>
          </cell>
          <cell r="D441">
            <v>94600</v>
          </cell>
          <cell r="E441" t="str">
            <v>23/09/2013</v>
          </cell>
        </row>
        <row r="442">
          <cell r="A442" t="str">
            <v>7X12106NAM1</v>
          </cell>
          <cell r="B442">
            <v>1.43</v>
          </cell>
          <cell r="C442" t="str">
            <v>7X12106KAG1</v>
          </cell>
          <cell r="D442">
            <v>94600</v>
          </cell>
          <cell r="E442" t="str">
            <v>23/09/2013</v>
          </cell>
        </row>
        <row r="443">
          <cell r="A443" t="str">
            <v>7X12106OAG1</v>
          </cell>
          <cell r="B443">
            <v>0.25</v>
          </cell>
          <cell r="C443" t="str">
            <v>7X12106OAI1</v>
          </cell>
          <cell r="D443">
            <v>94600</v>
          </cell>
          <cell r="E443" t="str">
            <v>23/09/2013</v>
          </cell>
        </row>
        <row r="444">
          <cell r="A444" t="str">
            <v>7X12106OAI1</v>
          </cell>
          <cell r="B444">
            <v>0.35</v>
          </cell>
          <cell r="C444" t="str">
            <v>7X12106OAL1</v>
          </cell>
          <cell r="D444">
            <v>94600</v>
          </cell>
          <cell r="E444" t="str">
            <v>23/09/2013</v>
          </cell>
        </row>
        <row r="445">
          <cell r="A445" t="str">
            <v>7X12106OAM1</v>
          </cell>
          <cell r="B445">
            <v>1.43</v>
          </cell>
          <cell r="C445" t="str">
            <v>7X12106OAG1</v>
          </cell>
          <cell r="D445">
            <v>94600</v>
          </cell>
          <cell r="E445" t="str">
            <v>23/09/2013</v>
          </cell>
        </row>
        <row r="446">
          <cell r="A446" t="str">
            <v>7X12106QAM1</v>
          </cell>
          <cell r="B446">
            <v>1.43</v>
          </cell>
          <cell r="C446" t="str">
            <v>7X12106AAG1</v>
          </cell>
          <cell r="D446">
            <v>94600</v>
          </cell>
          <cell r="E446" t="str">
            <v>23/09/2013</v>
          </cell>
        </row>
        <row r="447">
          <cell r="A447" t="str">
            <v>7X12107CAG1</v>
          </cell>
          <cell r="B447">
            <v>0.25</v>
          </cell>
          <cell r="C447" t="str">
            <v>7X12107CAI1</v>
          </cell>
          <cell r="D447">
            <v>94600</v>
          </cell>
          <cell r="E447" t="str">
            <v>23/09/2013</v>
          </cell>
        </row>
        <row r="448">
          <cell r="A448" t="str">
            <v>7X12107CAI1</v>
          </cell>
          <cell r="B448">
            <v>0.35</v>
          </cell>
          <cell r="C448" t="str">
            <v>7X12101AAL1</v>
          </cell>
          <cell r="D448">
            <v>94600</v>
          </cell>
          <cell r="E448" t="str">
            <v>23/09/2013</v>
          </cell>
        </row>
        <row r="449">
          <cell r="A449" t="str">
            <v>7X12107CAM1</v>
          </cell>
          <cell r="B449">
            <v>1.54</v>
          </cell>
          <cell r="C449" t="str">
            <v>7X12107CAG1</v>
          </cell>
          <cell r="D449">
            <v>94600</v>
          </cell>
          <cell r="E449" t="str">
            <v>23/09/2013</v>
          </cell>
        </row>
        <row r="450">
          <cell r="A450" t="str">
            <v>7X12107FBG1</v>
          </cell>
          <cell r="B450">
            <v>0.18</v>
          </cell>
          <cell r="C450" t="str">
            <v>7X12107FBI1</v>
          </cell>
          <cell r="D450">
            <v>94600</v>
          </cell>
          <cell r="E450" t="str">
            <v>23/09/2013</v>
          </cell>
        </row>
        <row r="451">
          <cell r="A451" t="str">
            <v>7X12107FBI1</v>
          </cell>
          <cell r="B451">
            <v>0.45</v>
          </cell>
          <cell r="C451" t="str">
            <v>7X12107FBL1</v>
          </cell>
          <cell r="D451">
            <v>94600</v>
          </cell>
          <cell r="E451" t="str">
            <v>23/09/2013</v>
          </cell>
        </row>
        <row r="452">
          <cell r="A452" t="str">
            <v>7X12107FBM1</v>
          </cell>
          <cell r="B452">
            <v>1.54</v>
          </cell>
          <cell r="C452" t="str">
            <v>7X12107FBG1</v>
          </cell>
          <cell r="D452">
            <v>94600</v>
          </cell>
          <cell r="E452" t="str">
            <v>23/09/2013</v>
          </cell>
        </row>
        <row r="453">
          <cell r="A453" t="str">
            <v>7X12107IAM1</v>
          </cell>
          <cell r="B453">
            <v>1.54</v>
          </cell>
          <cell r="C453" t="str">
            <v>7X12107CAG1</v>
          </cell>
          <cell r="D453">
            <v>94600</v>
          </cell>
          <cell r="E453" t="str">
            <v>23/09/2013</v>
          </cell>
        </row>
        <row r="454">
          <cell r="A454" t="str">
            <v>7X12107JAM1</v>
          </cell>
          <cell r="B454">
            <v>1.43</v>
          </cell>
          <cell r="C454" t="str">
            <v>7X12107CAG1</v>
          </cell>
          <cell r="D454">
            <v>94600</v>
          </cell>
          <cell r="E454" t="str">
            <v>23/09/2013</v>
          </cell>
        </row>
        <row r="455">
          <cell r="A455" t="str">
            <v>7X12107JAM2</v>
          </cell>
          <cell r="B455">
            <v>1.54</v>
          </cell>
          <cell r="C455" t="str">
            <v>7X12107CAG1</v>
          </cell>
          <cell r="D455">
            <v>94600</v>
          </cell>
          <cell r="E455" t="str">
            <v>23/09/2013</v>
          </cell>
        </row>
        <row r="456">
          <cell r="A456" t="str">
            <v>7X12107KAG1</v>
          </cell>
          <cell r="B456">
            <v>0.9</v>
          </cell>
          <cell r="C456" t="str">
            <v>7X12107KAI1</v>
          </cell>
          <cell r="D456">
            <v>94600</v>
          </cell>
          <cell r="E456" t="str">
            <v>23/09/2013</v>
          </cell>
        </row>
        <row r="457">
          <cell r="A457" t="str">
            <v>7X12107KAI1</v>
          </cell>
          <cell r="B457">
            <v>0.5</v>
          </cell>
          <cell r="C457" t="str">
            <v>7X12106KAL1</v>
          </cell>
          <cell r="D457">
            <v>94600</v>
          </cell>
          <cell r="E457" t="str">
            <v>23/09/2013</v>
          </cell>
        </row>
        <row r="458">
          <cell r="A458" t="str">
            <v>7X12107KAM1</v>
          </cell>
          <cell r="B458">
            <v>2.1</v>
          </cell>
          <cell r="C458" t="str">
            <v>7X12107KAG1</v>
          </cell>
          <cell r="D458">
            <v>94600</v>
          </cell>
          <cell r="E458" t="str">
            <v>23/09/2013</v>
          </cell>
        </row>
        <row r="459">
          <cell r="A459" t="str">
            <v>7X12107KAM2</v>
          </cell>
          <cell r="B459">
            <v>2.1</v>
          </cell>
          <cell r="C459" t="str">
            <v>7X12107KAG1</v>
          </cell>
          <cell r="D459">
            <v>94600</v>
          </cell>
          <cell r="E459" t="str">
            <v>23/09/2013</v>
          </cell>
        </row>
        <row r="460">
          <cell r="A460" t="str">
            <v>7X12107OAM1</v>
          </cell>
          <cell r="B460">
            <v>1.43</v>
          </cell>
          <cell r="C460" t="str">
            <v>7X12107CAG1</v>
          </cell>
          <cell r="D460">
            <v>94600</v>
          </cell>
          <cell r="E460" t="str">
            <v>23/09/2013</v>
          </cell>
        </row>
        <row r="461">
          <cell r="A461" t="str">
            <v>7X12110AAG1</v>
          </cell>
          <cell r="B461">
            <v>0.18</v>
          </cell>
          <cell r="C461" t="str">
            <v>7X12110AAI1</v>
          </cell>
          <cell r="D461">
            <v>94600</v>
          </cell>
          <cell r="E461" t="str">
            <v>23/09/2013</v>
          </cell>
        </row>
        <row r="462">
          <cell r="A462" t="str">
            <v>7X12110AAI1</v>
          </cell>
          <cell r="B462">
            <v>0.45</v>
          </cell>
          <cell r="C462" t="str">
            <v>7X12110AAL1</v>
          </cell>
          <cell r="D462">
            <v>94600</v>
          </cell>
          <cell r="E462" t="str">
            <v>23/09/2013</v>
          </cell>
        </row>
        <row r="463">
          <cell r="A463" t="str">
            <v>7X12110AAM1</v>
          </cell>
          <cell r="B463">
            <v>1.54</v>
          </cell>
          <cell r="C463" t="str">
            <v>7X12110AAG1</v>
          </cell>
          <cell r="D463">
            <v>94600</v>
          </cell>
          <cell r="E463" t="str">
            <v>23/09/2013</v>
          </cell>
        </row>
        <row r="464">
          <cell r="A464" t="str">
            <v>7X12110BAM1</v>
          </cell>
          <cell r="B464">
            <v>1.54</v>
          </cell>
          <cell r="C464" t="str">
            <v>7X12110AAG1</v>
          </cell>
          <cell r="D464">
            <v>94600</v>
          </cell>
          <cell r="E464" t="str">
            <v>23/09/2013</v>
          </cell>
        </row>
        <row r="465">
          <cell r="A465" t="str">
            <v>7X12110CAM1</v>
          </cell>
          <cell r="B465">
            <v>2.1</v>
          </cell>
          <cell r="C465" t="str">
            <v>7X12110AAG1</v>
          </cell>
          <cell r="D465">
            <v>94600</v>
          </cell>
          <cell r="E465" t="str">
            <v>23/09/2013</v>
          </cell>
        </row>
        <row r="466">
          <cell r="A466" t="str">
            <v>7X12110EAG1</v>
          </cell>
          <cell r="B466">
            <v>0.25</v>
          </cell>
          <cell r="C466" t="str">
            <v>7X12110EAI1</v>
          </cell>
          <cell r="D466">
            <v>94600</v>
          </cell>
          <cell r="E466" t="str">
            <v>23/09/2013</v>
          </cell>
        </row>
        <row r="467">
          <cell r="A467" t="str">
            <v>7X12110EAI1</v>
          </cell>
          <cell r="B467">
            <v>0.35</v>
          </cell>
          <cell r="C467" t="str">
            <v>7X12110JAL1</v>
          </cell>
          <cell r="D467">
            <v>94600</v>
          </cell>
          <cell r="E467" t="str">
            <v>23/09/2013</v>
          </cell>
        </row>
        <row r="468">
          <cell r="A468" t="str">
            <v>7X12110EAM1</v>
          </cell>
          <cell r="B468">
            <v>1.43</v>
          </cell>
          <cell r="C468" t="str">
            <v>7X12110EAG1</v>
          </cell>
          <cell r="D468">
            <v>94600</v>
          </cell>
          <cell r="E468" t="str">
            <v>23/09/2013</v>
          </cell>
        </row>
        <row r="469">
          <cell r="A469" t="str">
            <v>7X12110GAM1</v>
          </cell>
          <cell r="B469">
            <v>2.1</v>
          </cell>
          <cell r="C469" t="str">
            <v>7X12110EAG1</v>
          </cell>
          <cell r="D469">
            <v>94600</v>
          </cell>
          <cell r="E469" t="str">
            <v>23/09/2013</v>
          </cell>
        </row>
        <row r="470">
          <cell r="A470" t="str">
            <v>7X12110HAM1</v>
          </cell>
          <cell r="B470">
            <v>1.43</v>
          </cell>
          <cell r="C470" t="str">
            <v>7X12110EAG1</v>
          </cell>
          <cell r="D470">
            <v>94600</v>
          </cell>
          <cell r="E470" t="str">
            <v>23/09/2013</v>
          </cell>
        </row>
        <row r="471">
          <cell r="A471" t="str">
            <v>7X12110IAM1</v>
          </cell>
          <cell r="B471">
            <v>1.43</v>
          </cell>
          <cell r="C471" t="str">
            <v>7X12110EAG1</v>
          </cell>
          <cell r="D471">
            <v>94600</v>
          </cell>
          <cell r="E471" t="str">
            <v>23/09/2013</v>
          </cell>
        </row>
        <row r="472">
          <cell r="A472" t="str">
            <v>7X12110JAG1</v>
          </cell>
          <cell r="B472">
            <v>0.25</v>
          </cell>
          <cell r="C472" t="str">
            <v>7X12110JAI1</v>
          </cell>
          <cell r="D472">
            <v>94600</v>
          </cell>
          <cell r="E472" t="str">
            <v>23/09/2013</v>
          </cell>
        </row>
        <row r="473">
          <cell r="A473" t="str">
            <v>7X12110JAI1</v>
          </cell>
          <cell r="B473">
            <v>0.35</v>
          </cell>
          <cell r="C473" t="str">
            <v>7X12110JAL1</v>
          </cell>
          <cell r="D473">
            <v>94600</v>
          </cell>
          <cell r="E473" t="str">
            <v>23/09/2013</v>
          </cell>
        </row>
        <row r="474">
          <cell r="A474" t="str">
            <v>7X12110JAM1</v>
          </cell>
          <cell r="B474">
            <v>1.43</v>
          </cell>
          <cell r="C474" t="str">
            <v>7X12110JAG1</v>
          </cell>
          <cell r="D474">
            <v>94600</v>
          </cell>
          <cell r="E474" t="str">
            <v>23/09/2013</v>
          </cell>
        </row>
        <row r="475">
          <cell r="A475" t="str">
            <v>7X12121AAG1</v>
          </cell>
          <cell r="B475">
            <v>0.25</v>
          </cell>
          <cell r="C475" t="str">
            <v>7X12121AAI1</v>
          </cell>
          <cell r="D475">
            <v>94600</v>
          </cell>
          <cell r="E475" t="str">
            <v>23/09/2013</v>
          </cell>
        </row>
        <row r="476">
          <cell r="A476" t="str">
            <v>7X12121AAI1</v>
          </cell>
          <cell r="B476">
            <v>0.35</v>
          </cell>
          <cell r="C476" t="str">
            <v>7X12121AAL1</v>
          </cell>
          <cell r="D476">
            <v>94600</v>
          </cell>
          <cell r="E476" t="str">
            <v>23/09/2013</v>
          </cell>
        </row>
        <row r="477">
          <cell r="A477" t="str">
            <v>7X12121AAM1</v>
          </cell>
          <cell r="B477">
            <v>1.43</v>
          </cell>
          <cell r="C477" t="str">
            <v>7X12121AAG1</v>
          </cell>
          <cell r="D477">
            <v>94600</v>
          </cell>
          <cell r="E477" t="str">
            <v>23/09/2013</v>
          </cell>
        </row>
        <row r="478">
          <cell r="A478" t="str">
            <v>7X12121BAG1</v>
          </cell>
          <cell r="B478">
            <v>0.25</v>
          </cell>
          <cell r="C478" t="str">
            <v>7X12121BAI1</v>
          </cell>
          <cell r="D478">
            <v>94600</v>
          </cell>
          <cell r="E478" t="str">
            <v>23/09/2013</v>
          </cell>
        </row>
        <row r="479">
          <cell r="A479" t="str">
            <v>7X12121BAI1</v>
          </cell>
          <cell r="B479">
            <v>0.35</v>
          </cell>
          <cell r="C479" t="str">
            <v>7X12121BAL1</v>
          </cell>
          <cell r="D479">
            <v>94600</v>
          </cell>
          <cell r="E479" t="str">
            <v>23/09/2013</v>
          </cell>
        </row>
        <row r="480">
          <cell r="A480" t="str">
            <v>7X12121BAM1</v>
          </cell>
          <cell r="B480">
            <v>1.43</v>
          </cell>
          <cell r="C480" t="str">
            <v>7X12121BAG1</v>
          </cell>
          <cell r="D480">
            <v>94600</v>
          </cell>
          <cell r="E480" t="str">
            <v>23/09/2013</v>
          </cell>
        </row>
        <row r="481">
          <cell r="A481" t="str">
            <v>7X12402ABG1</v>
          </cell>
          <cell r="B481">
            <v>0.25</v>
          </cell>
          <cell r="C481" t="str">
            <v>7X12402ABI1</v>
          </cell>
          <cell r="D481">
            <v>94600</v>
          </cell>
          <cell r="E481" t="str">
            <v>23/09/2013</v>
          </cell>
        </row>
        <row r="482">
          <cell r="A482" t="str">
            <v>7X12402ABI1</v>
          </cell>
          <cell r="B482">
            <v>0.35</v>
          </cell>
          <cell r="C482" t="str">
            <v>7X12401FAL1</v>
          </cell>
          <cell r="D482">
            <v>94600</v>
          </cell>
          <cell r="E482" t="str">
            <v>23/09/2013</v>
          </cell>
        </row>
        <row r="483">
          <cell r="A483" t="str">
            <v>7X12402ABM1</v>
          </cell>
          <cell r="B483">
            <v>1.54</v>
          </cell>
          <cell r="C483" t="str">
            <v>7X12402ABG1</v>
          </cell>
          <cell r="D483">
            <v>94600</v>
          </cell>
          <cell r="E483" t="str">
            <v>23/09/2013</v>
          </cell>
        </row>
        <row r="484">
          <cell r="A484" t="str">
            <v>7X12402DAM1</v>
          </cell>
          <cell r="B484">
            <v>1.43</v>
          </cell>
          <cell r="C484" t="str">
            <v>7X12402ABG1</v>
          </cell>
          <cell r="D484">
            <v>94600</v>
          </cell>
          <cell r="E484" t="str">
            <v>23/09/2013</v>
          </cell>
        </row>
        <row r="485">
          <cell r="A485" t="str">
            <v>7X12402DAM2</v>
          </cell>
          <cell r="B485">
            <v>2.2999999999999998</v>
          </cell>
          <cell r="C485" t="str">
            <v>7X12402ABG1</v>
          </cell>
          <cell r="D485">
            <v>94600</v>
          </cell>
          <cell r="E485" t="str">
            <v>23/09/2013</v>
          </cell>
        </row>
        <row r="486">
          <cell r="A486" t="str">
            <v>7X12402EAG1</v>
          </cell>
          <cell r="B486">
            <v>0.7</v>
          </cell>
          <cell r="C486" t="str">
            <v>7X12402EAI1</v>
          </cell>
          <cell r="D486">
            <v>94600</v>
          </cell>
          <cell r="E486" t="str">
            <v>23/09/2013</v>
          </cell>
        </row>
        <row r="487">
          <cell r="A487" t="str">
            <v>7X12402EAI1</v>
          </cell>
          <cell r="B487">
            <v>0</v>
          </cell>
          <cell r="C487" t="str">
            <v>7X12404DAL1</v>
          </cell>
          <cell r="D487">
            <v>94600</v>
          </cell>
          <cell r="E487" t="str">
            <v>23/09/2013</v>
          </cell>
        </row>
        <row r="488">
          <cell r="A488" t="str">
            <v>7X12402EAM1</v>
          </cell>
          <cell r="B488">
            <v>2.1</v>
          </cell>
          <cell r="C488" t="str">
            <v>7X12402EAG1</v>
          </cell>
          <cell r="D488">
            <v>94600</v>
          </cell>
          <cell r="E488" t="str">
            <v>23/09/2013</v>
          </cell>
        </row>
        <row r="489">
          <cell r="A489" t="str">
            <v>7X12403AAG1</v>
          </cell>
          <cell r="B489">
            <v>0.8</v>
          </cell>
          <cell r="C489" t="str">
            <v>7X12403AAI1</v>
          </cell>
          <cell r="D489">
            <v>94600</v>
          </cell>
          <cell r="E489" t="str">
            <v>23/09/2013</v>
          </cell>
        </row>
        <row r="490">
          <cell r="A490" t="str">
            <v>7X12403AAI1</v>
          </cell>
          <cell r="B490">
            <v>0</v>
          </cell>
          <cell r="C490" t="str">
            <v>7X12403AAL1</v>
          </cell>
          <cell r="D490">
            <v>94600</v>
          </cell>
          <cell r="E490" t="str">
            <v>23/09/2013</v>
          </cell>
        </row>
        <row r="491">
          <cell r="A491" t="str">
            <v>7X12403AAM1</v>
          </cell>
          <cell r="B491">
            <v>2.2999999999999998</v>
          </cell>
          <cell r="C491" t="str">
            <v>7X12403AAG1</v>
          </cell>
          <cell r="D491">
            <v>94600</v>
          </cell>
          <cell r="E491" t="str">
            <v>23/09/2013</v>
          </cell>
        </row>
        <row r="492">
          <cell r="A492" t="str">
            <v>7X12404AAG1</v>
          </cell>
          <cell r="B492">
            <v>0.25</v>
          </cell>
          <cell r="C492" t="str">
            <v>7X12404AAI1</v>
          </cell>
          <cell r="D492">
            <v>94600</v>
          </cell>
          <cell r="E492" t="str">
            <v>23/09/2013</v>
          </cell>
        </row>
        <row r="493">
          <cell r="A493" t="str">
            <v>7X12404AAI1</v>
          </cell>
          <cell r="B493">
            <v>0.35</v>
          </cell>
          <cell r="C493" t="str">
            <v>7X12401FAL1</v>
          </cell>
          <cell r="D493">
            <v>94600</v>
          </cell>
          <cell r="E493" t="str">
            <v>23/09/2013</v>
          </cell>
        </row>
        <row r="494">
          <cell r="A494" t="str">
            <v>7X12404AAM1</v>
          </cell>
          <cell r="B494">
            <v>1.54</v>
          </cell>
          <cell r="C494" t="str">
            <v>7X12404AAG1</v>
          </cell>
          <cell r="D494">
            <v>94600</v>
          </cell>
          <cell r="E494" t="str">
            <v>23/09/2013</v>
          </cell>
        </row>
        <row r="495">
          <cell r="A495" t="str">
            <v>7X12404BAM1</v>
          </cell>
          <cell r="B495">
            <v>2.2999999999999998</v>
          </cell>
          <cell r="C495" t="str">
            <v>7X12404AAG1</v>
          </cell>
          <cell r="D495">
            <v>94600</v>
          </cell>
          <cell r="E495" t="str">
            <v>23/09/2013</v>
          </cell>
        </row>
        <row r="496">
          <cell r="A496" t="str">
            <v>7X12404CAM1</v>
          </cell>
          <cell r="B496">
            <v>1.43</v>
          </cell>
          <cell r="C496" t="str">
            <v>7X12404AAG1</v>
          </cell>
          <cell r="D496">
            <v>94600</v>
          </cell>
          <cell r="E496" t="str">
            <v>23/09/2013</v>
          </cell>
        </row>
        <row r="497">
          <cell r="A497" t="str">
            <v>7X12404DAG1</v>
          </cell>
          <cell r="B497">
            <v>0.25</v>
          </cell>
          <cell r="C497" t="str">
            <v>7X12404DAI1</v>
          </cell>
          <cell r="D497">
            <v>94600</v>
          </cell>
          <cell r="E497" t="str">
            <v>23/09/2013</v>
          </cell>
        </row>
        <row r="498">
          <cell r="A498" t="str">
            <v>7X12404DAI1</v>
          </cell>
          <cell r="B498">
            <v>0.35</v>
          </cell>
          <cell r="C498" t="str">
            <v>7X12404DAL1</v>
          </cell>
          <cell r="D498">
            <v>94600</v>
          </cell>
          <cell r="E498" t="str">
            <v>23/09/2013</v>
          </cell>
        </row>
        <row r="499">
          <cell r="A499" t="str">
            <v>7X12404DAM1</v>
          </cell>
          <cell r="B499">
            <v>1.43</v>
          </cell>
          <cell r="C499" t="str">
            <v>7X12404DAG1</v>
          </cell>
          <cell r="D499">
            <v>94600</v>
          </cell>
          <cell r="E499" t="str">
            <v>23/09/2013</v>
          </cell>
        </row>
        <row r="500">
          <cell r="A500" t="str">
            <v>7X12404EAG1</v>
          </cell>
          <cell r="B500">
            <v>0.25</v>
          </cell>
          <cell r="C500" t="str">
            <v>7X12404EAI1</v>
          </cell>
          <cell r="D500">
            <v>94600</v>
          </cell>
          <cell r="E500" t="str">
            <v>23/09/2013</v>
          </cell>
        </row>
        <row r="501">
          <cell r="A501" t="str">
            <v>7X12404EAI1</v>
          </cell>
          <cell r="B501">
            <v>0.35</v>
          </cell>
          <cell r="C501" t="str">
            <v>7X12404EAL1</v>
          </cell>
          <cell r="D501">
            <v>94600</v>
          </cell>
          <cell r="E501" t="str">
            <v>23/09/2013</v>
          </cell>
        </row>
        <row r="502">
          <cell r="A502" t="str">
            <v>7X12404EAM1</v>
          </cell>
          <cell r="B502">
            <v>1.43</v>
          </cell>
          <cell r="C502" t="str">
            <v>7X12404EAG1</v>
          </cell>
          <cell r="D502">
            <v>94600</v>
          </cell>
          <cell r="E502" t="str">
            <v>23/09/2013</v>
          </cell>
        </row>
        <row r="503">
          <cell r="A503" t="str">
            <v>7X12406AAG1</v>
          </cell>
          <cell r="B503">
            <v>0.25</v>
          </cell>
          <cell r="C503" t="str">
            <v>7X12406AAI1</v>
          </cell>
          <cell r="D503">
            <v>94600</v>
          </cell>
          <cell r="E503" t="str">
            <v>23/09/2013</v>
          </cell>
        </row>
        <row r="504">
          <cell r="A504" t="str">
            <v>7X12406AAI1</v>
          </cell>
          <cell r="B504">
            <v>0.35</v>
          </cell>
          <cell r="C504" t="str">
            <v>7X12403AAL1</v>
          </cell>
          <cell r="D504">
            <v>94600</v>
          </cell>
          <cell r="E504" t="str">
            <v>23/09/2013</v>
          </cell>
        </row>
        <row r="505">
          <cell r="A505" t="str">
            <v>7X12406AAM1</v>
          </cell>
          <cell r="B505">
            <v>1.54</v>
          </cell>
          <cell r="C505" t="str">
            <v>7X12406AAG1</v>
          </cell>
          <cell r="D505">
            <v>94600</v>
          </cell>
          <cell r="E505" t="str">
            <v>23/09/2013</v>
          </cell>
        </row>
        <row r="506">
          <cell r="A506" t="str">
            <v>7X12406BAM1</v>
          </cell>
          <cell r="B506">
            <v>1.54</v>
          </cell>
          <cell r="C506" t="str">
            <v>7X12406AAG1</v>
          </cell>
          <cell r="D506">
            <v>94600</v>
          </cell>
          <cell r="E506" t="str">
            <v>23/09/2013</v>
          </cell>
        </row>
        <row r="507">
          <cell r="A507" t="str">
            <v>7X12406CAM1</v>
          </cell>
          <cell r="B507">
            <v>1.43</v>
          </cell>
          <cell r="C507" t="str">
            <v>7X12406AAG1</v>
          </cell>
          <cell r="D507">
            <v>94600</v>
          </cell>
          <cell r="E507" t="str">
            <v>23/09/2013</v>
          </cell>
        </row>
        <row r="508">
          <cell r="A508" t="str">
            <v>7X12406DAG1</v>
          </cell>
          <cell r="B508">
            <v>0.25</v>
          </cell>
          <cell r="C508" t="str">
            <v>7X12406DAI1</v>
          </cell>
          <cell r="D508">
            <v>94600</v>
          </cell>
          <cell r="E508" t="str">
            <v>23/09/2013</v>
          </cell>
        </row>
        <row r="509">
          <cell r="A509" t="str">
            <v>7X12406DAI1</v>
          </cell>
          <cell r="B509">
            <v>0.35</v>
          </cell>
          <cell r="C509" t="str">
            <v>7X12406DAL1</v>
          </cell>
          <cell r="D509">
            <v>94600</v>
          </cell>
          <cell r="E509" t="str">
            <v>23/09/2013</v>
          </cell>
        </row>
        <row r="510">
          <cell r="A510" t="str">
            <v>7X12406DAM1</v>
          </cell>
          <cell r="B510">
            <v>1.43</v>
          </cell>
          <cell r="C510" t="str">
            <v>7X12406DAG1</v>
          </cell>
          <cell r="D510">
            <v>94600</v>
          </cell>
          <cell r="E510" t="str">
            <v>23/09/2013</v>
          </cell>
        </row>
        <row r="511">
          <cell r="A511" t="str">
            <v>7X12406DAM2</v>
          </cell>
          <cell r="B511">
            <v>2.1</v>
          </cell>
          <cell r="C511" t="str">
            <v>7X12406DAG1</v>
          </cell>
          <cell r="D511">
            <v>94600</v>
          </cell>
          <cell r="E511" t="str">
            <v>23/09/2013</v>
          </cell>
        </row>
        <row r="512">
          <cell r="A512" t="str">
            <v>7X12406GAG1</v>
          </cell>
          <cell r="B512">
            <v>0.25</v>
          </cell>
          <cell r="C512" t="str">
            <v>7X12406GAI1</v>
          </cell>
          <cell r="D512">
            <v>94600</v>
          </cell>
          <cell r="E512" t="str">
            <v>23/09/2013</v>
          </cell>
        </row>
        <row r="513">
          <cell r="A513" t="str">
            <v>7X12406GAI1</v>
          </cell>
          <cell r="B513">
            <v>0.35</v>
          </cell>
          <cell r="C513" t="str">
            <v>7X12406GAL1</v>
          </cell>
          <cell r="D513">
            <v>94600</v>
          </cell>
          <cell r="E513" t="str">
            <v>23/09/2013</v>
          </cell>
        </row>
        <row r="514">
          <cell r="A514" t="str">
            <v>7X12406GAM1</v>
          </cell>
          <cell r="B514">
            <v>1.43</v>
          </cell>
          <cell r="C514" t="str">
            <v>7X12406GAG1</v>
          </cell>
          <cell r="D514">
            <v>94600</v>
          </cell>
          <cell r="E514" t="str">
            <v>23/09/2013</v>
          </cell>
        </row>
        <row r="515">
          <cell r="A515" t="str">
            <v>7X12406HAG1</v>
          </cell>
          <cell r="B515">
            <v>0.25</v>
          </cell>
          <cell r="C515" t="str">
            <v>7X12406HAI1</v>
          </cell>
          <cell r="D515">
            <v>94600</v>
          </cell>
          <cell r="E515" t="str">
            <v>23/09/2013</v>
          </cell>
        </row>
        <row r="516">
          <cell r="A516" t="str">
            <v>7X12406HAI1</v>
          </cell>
          <cell r="B516">
            <v>0.35</v>
          </cell>
          <cell r="C516" t="str">
            <v>7X12406HAL1</v>
          </cell>
          <cell r="D516">
            <v>94600</v>
          </cell>
          <cell r="E516" t="str">
            <v>23/09/2013</v>
          </cell>
        </row>
        <row r="517">
          <cell r="A517" t="str">
            <v>7X12406HAM1</v>
          </cell>
          <cell r="B517">
            <v>1.43</v>
          </cell>
          <cell r="C517" t="str">
            <v>7X12406HAG1</v>
          </cell>
          <cell r="D517">
            <v>94600</v>
          </cell>
          <cell r="E517" t="str">
            <v>23/09/2013</v>
          </cell>
        </row>
        <row r="518">
          <cell r="A518" t="str">
            <v>7X12413AAG1</v>
          </cell>
          <cell r="B518">
            <v>0.25</v>
          </cell>
          <cell r="C518" t="str">
            <v>7X12413AAI1</v>
          </cell>
          <cell r="D518">
            <v>94600</v>
          </cell>
          <cell r="E518" t="str">
            <v>23/09/2013</v>
          </cell>
        </row>
        <row r="519">
          <cell r="A519" t="str">
            <v>7X12413AAI1</v>
          </cell>
          <cell r="B519">
            <v>0.35</v>
          </cell>
          <cell r="C519" t="str">
            <v>7X12413AAL1</v>
          </cell>
          <cell r="D519">
            <v>94600</v>
          </cell>
          <cell r="E519" t="str">
            <v>23/09/2013</v>
          </cell>
        </row>
        <row r="520">
          <cell r="A520" t="str">
            <v>7X12413AAM1</v>
          </cell>
          <cell r="B520">
            <v>1.43</v>
          </cell>
          <cell r="C520" t="str">
            <v>7X12413AAG1</v>
          </cell>
          <cell r="D520">
            <v>94600</v>
          </cell>
          <cell r="E520" t="str">
            <v>23/09/2013</v>
          </cell>
        </row>
        <row r="521">
          <cell r="A521" t="str">
            <v>7X12413CAG1</v>
          </cell>
          <cell r="B521">
            <v>0.25</v>
          </cell>
          <cell r="C521" t="str">
            <v>7X12413CAI1</v>
          </cell>
          <cell r="D521">
            <v>94600</v>
          </cell>
          <cell r="E521" t="str">
            <v>23/09/2013</v>
          </cell>
        </row>
        <row r="522">
          <cell r="A522" t="str">
            <v>7X12413CAI1</v>
          </cell>
          <cell r="B522">
            <v>0.35</v>
          </cell>
          <cell r="C522" t="str">
            <v>7X12413CAL1</v>
          </cell>
          <cell r="D522">
            <v>94600</v>
          </cell>
          <cell r="E522" t="str">
            <v>23/09/2013</v>
          </cell>
        </row>
        <row r="523">
          <cell r="A523" t="str">
            <v>7X12413CAM1</v>
          </cell>
          <cell r="B523">
            <v>1.43</v>
          </cell>
          <cell r="C523" t="str">
            <v>7X12413CAG1</v>
          </cell>
          <cell r="D523">
            <v>94600</v>
          </cell>
          <cell r="E523" t="str">
            <v>23/09/2013</v>
          </cell>
        </row>
        <row r="524">
          <cell r="A524" t="str">
            <v>7X12413DAM1</v>
          </cell>
          <cell r="B524">
            <v>1.43</v>
          </cell>
          <cell r="C524" t="str">
            <v>7X12413AAG1</v>
          </cell>
          <cell r="D524">
            <v>94600</v>
          </cell>
          <cell r="E524" t="str">
            <v>23/09/2013</v>
          </cell>
        </row>
        <row r="525">
          <cell r="A525" t="str">
            <v>7X12415AAG1</v>
          </cell>
          <cell r="B525">
            <v>0.25</v>
          </cell>
          <cell r="C525" t="str">
            <v>7X12415AAI1</v>
          </cell>
          <cell r="D525">
            <v>94600</v>
          </cell>
          <cell r="E525" t="str">
            <v>23/09/2013</v>
          </cell>
        </row>
        <row r="526">
          <cell r="A526" t="str">
            <v>7X12415AAI1</v>
          </cell>
          <cell r="B526">
            <v>0.35</v>
          </cell>
          <cell r="C526" t="str">
            <v>7X13902AAL1</v>
          </cell>
          <cell r="D526">
            <v>94600</v>
          </cell>
          <cell r="E526" t="str">
            <v>23/09/2013</v>
          </cell>
        </row>
        <row r="527">
          <cell r="A527" t="str">
            <v>7X12415AAM1</v>
          </cell>
          <cell r="B527">
            <v>1.43</v>
          </cell>
          <cell r="C527" t="str">
            <v>7X12415AAG1</v>
          </cell>
          <cell r="D527">
            <v>94600</v>
          </cell>
          <cell r="E527" t="str">
            <v>23/09/2013</v>
          </cell>
        </row>
        <row r="528">
          <cell r="A528" t="str">
            <v>7X12415BAG1</v>
          </cell>
          <cell r="B528">
            <v>0.25</v>
          </cell>
          <cell r="C528" t="str">
            <v>7X12415BAI1</v>
          </cell>
          <cell r="D528">
            <v>94600</v>
          </cell>
          <cell r="E528" t="str">
            <v>23/09/2013</v>
          </cell>
        </row>
        <row r="529">
          <cell r="A529" t="str">
            <v>7X12415BAI1</v>
          </cell>
          <cell r="B529">
            <v>0.35</v>
          </cell>
          <cell r="C529" t="str">
            <v>7X13902BAL1</v>
          </cell>
          <cell r="D529">
            <v>94600</v>
          </cell>
          <cell r="E529" t="str">
            <v>23/09/2013</v>
          </cell>
        </row>
        <row r="530">
          <cell r="A530" t="str">
            <v>7X12415BAM1</v>
          </cell>
          <cell r="B530">
            <v>1.43</v>
          </cell>
          <cell r="C530" t="str">
            <v>7X12415BAG1</v>
          </cell>
          <cell r="D530">
            <v>94600</v>
          </cell>
          <cell r="E530" t="str">
            <v>23/09/2013</v>
          </cell>
        </row>
        <row r="531">
          <cell r="A531" t="str">
            <v>7X12415DAM1</v>
          </cell>
          <cell r="B531">
            <v>1.43</v>
          </cell>
          <cell r="C531" t="str">
            <v>7X12415AAG1</v>
          </cell>
          <cell r="D531">
            <v>94600</v>
          </cell>
          <cell r="E531" t="str">
            <v>23/09/2013</v>
          </cell>
        </row>
        <row r="532">
          <cell r="A532" t="str">
            <v>7X12415EAG1</v>
          </cell>
          <cell r="B532">
            <v>0.25</v>
          </cell>
          <cell r="C532" t="str">
            <v>7X12415EAI1</v>
          </cell>
          <cell r="D532">
            <v>94600</v>
          </cell>
          <cell r="E532" t="str">
            <v>23/09/2013</v>
          </cell>
        </row>
        <row r="533">
          <cell r="A533" t="str">
            <v>7X12415EAI1</v>
          </cell>
          <cell r="B533">
            <v>0.35</v>
          </cell>
          <cell r="C533" t="str">
            <v>7X12415EAL1</v>
          </cell>
          <cell r="D533">
            <v>94600</v>
          </cell>
          <cell r="E533" t="str">
            <v>23/09/2013</v>
          </cell>
        </row>
        <row r="534">
          <cell r="A534" t="str">
            <v>7X12415EAM1</v>
          </cell>
          <cell r="B534">
            <v>1.43</v>
          </cell>
          <cell r="C534" t="str">
            <v>7X12415EAG1</v>
          </cell>
          <cell r="D534">
            <v>94600</v>
          </cell>
          <cell r="E534" t="str">
            <v>23/09/2013</v>
          </cell>
        </row>
        <row r="535">
          <cell r="A535" t="str">
            <v>7X12415FAM1</v>
          </cell>
          <cell r="B535">
            <v>1.43</v>
          </cell>
          <cell r="C535" t="str">
            <v>7X12415BAG1</v>
          </cell>
          <cell r="D535">
            <v>94600</v>
          </cell>
          <cell r="E535" t="str">
            <v>23/09/2013</v>
          </cell>
        </row>
        <row r="536">
          <cell r="A536" t="str">
            <v>7X12415ZAG1</v>
          </cell>
          <cell r="B536">
            <v>0.25</v>
          </cell>
          <cell r="C536" t="str">
            <v>7X12415ZAI1</v>
          </cell>
          <cell r="D536">
            <v>94600</v>
          </cell>
          <cell r="E536" t="str">
            <v>23/09/2013</v>
          </cell>
        </row>
        <row r="537">
          <cell r="A537" t="str">
            <v>7X12415ZAI1</v>
          </cell>
          <cell r="B537">
            <v>0.35</v>
          </cell>
          <cell r="C537" t="str">
            <v>7X12415ZAL1</v>
          </cell>
          <cell r="D537">
            <v>94600</v>
          </cell>
          <cell r="E537" t="str">
            <v>23/09/2013</v>
          </cell>
        </row>
        <row r="538">
          <cell r="A538" t="str">
            <v>7X12415ZAM1</v>
          </cell>
          <cell r="B538">
            <v>1.43</v>
          </cell>
          <cell r="C538" t="str">
            <v>7X12415ZAG1</v>
          </cell>
          <cell r="D538">
            <v>94600</v>
          </cell>
          <cell r="E538" t="str">
            <v>23/09/2013</v>
          </cell>
        </row>
        <row r="539">
          <cell r="A539" t="str">
            <v>7X12416AAG1</v>
          </cell>
          <cell r="B539">
            <v>0.25</v>
          </cell>
          <cell r="C539" t="str">
            <v>7X12416AAI1</v>
          </cell>
          <cell r="D539">
            <v>94600</v>
          </cell>
          <cell r="E539" t="str">
            <v>23/09/2013</v>
          </cell>
        </row>
        <row r="540">
          <cell r="A540" t="str">
            <v>7X12416AAI1</v>
          </cell>
          <cell r="B540">
            <v>0.35</v>
          </cell>
          <cell r="C540" t="str">
            <v>7X12416AAL1</v>
          </cell>
          <cell r="D540">
            <v>94600</v>
          </cell>
          <cell r="E540" t="str">
            <v>23/09/2013</v>
          </cell>
        </row>
        <row r="541">
          <cell r="A541" t="str">
            <v>7X12416AAM1</v>
          </cell>
          <cell r="B541">
            <v>1.43</v>
          </cell>
          <cell r="C541" t="str">
            <v>7X12416AAG1</v>
          </cell>
          <cell r="D541">
            <v>94600</v>
          </cell>
          <cell r="E541" t="str">
            <v>23/09/2013</v>
          </cell>
        </row>
        <row r="542">
          <cell r="A542" t="str">
            <v>7X12416BAG1</v>
          </cell>
          <cell r="B542">
            <v>0.25</v>
          </cell>
          <cell r="C542" t="str">
            <v>7X12416BAI1</v>
          </cell>
          <cell r="D542">
            <v>94600</v>
          </cell>
          <cell r="E542" t="str">
            <v>23/09/2013</v>
          </cell>
        </row>
        <row r="543">
          <cell r="A543" t="str">
            <v>7X12416BAI1</v>
          </cell>
          <cell r="B543">
            <v>0.35</v>
          </cell>
          <cell r="C543" t="str">
            <v>7X13901AAL1</v>
          </cell>
          <cell r="D543">
            <v>94600</v>
          </cell>
          <cell r="E543" t="str">
            <v>23/09/2013</v>
          </cell>
        </row>
        <row r="544">
          <cell r="A544" t="str">
            <v>7X12416BAM1</v>
          </cell>
          <cell r="B544">
            <v>1.43</v>
          </cell>
          <cell r="C544" t="str">
            <v>7X12416BAG1</v>
          </cell>
          <cell r="D544">
            <v>94600</v>
          </cell>
          <cell r="E544" t="str">
            <v>23/09/2013</v>
          </cell>
        </row>
        <row r="545">
          <cell r="A545" t="str">
            <v>7X12417AAG1</v>
          </cell>
          <cell r="B545">
            <v>0.25</v>
          </cell>
          <cell r="C545" t="str">
            <v>7X12417AAI1</v>
          </cell>
          <cell r="D545">
            <v>94600</v>
          </cell>
          <cell r="E545" t="str">
            <v>23/09/2013</v>
          </cell>
        </row>
        <row r="546">
          <cell r="A546" t="str">
            <v>7X12417AAI1</v>
          </cell>
          <cell r="B546">
            <v>0.35</v>
          </cell>
          <cell r="C546" t="str">
            <v>7X13901AAL1</v>
          </cell>
          <cell r="D546">
            <v>94600</v>
          </cell>
          <cell r="E546" t="str">
            <v>23/09/2013</v>
          </cell>
        </row>
        <row r="547">
          <cell r="A547" t="str">
            <v>7X12417AAM1</v>
          </cell>
          <cell r="B547">
            <v>1.43</v>
          </cell>
          <cell r="C547" t="str">
            <v>7X12417AAG1</v>
          </cell>
          <cell r="D547">
            <v>94600</v>
          </cell>
          <cell r="E547" t="str">
            <v>23/09/2013</v>
          </cell>
        </row>
        <row r="548">
          <cell r="A548" t="str">
            <v>7X12417CAM1</v>
          </cell>
          <cell r="B548">
            <v>1.43</v>
          </cell>
          <cell r="C548" t="str">
            <v>7X12417AAG1</v>
          </cell>
          <cell r="D548">
            <v>94600</v>
          </cell>
          <cell r="E548" t="str">
            <v>23/09/2013</v>
          </cell>
        </row>
        <row r="549">
          <cell r="A549" t="str">
            <v>7X12417DAG1</v>
          </cell>
          <cell r="B549">
            <v>0.25</v>
          </cell>
          <cell r="C549" t="str">
            <v>7X12417DAI1</v>
          </cell>
          <cell r="D549">
            <v>94600</v>
          </cell>
          <cell r="E549" t="str">
            <v>23/09/2013</v>
          </cell>
        </row>
        <row r="550">
          <cell r="A550" t="str">
            <v>7X12417DAI1</v>
          </cell>
          <cell r="B550">
            <v>0.35</v>
          </cell>
          <cell r="C550" t="str">
            <v>7X12417DAL1</v>
          </cell>
          <cell r="D550">
            <v>94600</v>
          </cell>
          <cell r="E550" t="str">
            <v>23/09/2013</v>
          </cell>
        </row>
        <row r="551">
          <cell r="A551" t="str">
            <v>7X12417DAM1</v>
          </cell>
          <cell r="B551">
            <v>1.43</v>
          </cell>
          <cell r="C551" t="str">
            <v>7X12417DAG1</v>
          </cell>
          <cell r="D551">
            <v>94600</v>
          </cell>
          <cell r="E551" t="str">
            <v>23/09/2013</v>
          </cell>
        </row>
        <row r="552">
          <cell r="A552" t="str">
            <v>7X12419BAG1</v>
          </cell>
          <cell r="B552">
            <v>0.25</v>
          </cell>
          <cell r="C552" t="str">
            <v>7X12419BAI1</v>
          </cell>
          <cell r="D552">
            <v>94600</v>
          </cell>
          <cell r="E552" t="str">
            <v>23/09/2013</v>
          </cell>
        </row>
        <row r="553">
          <cell r="A553" t="str">
            <v>7X12419BAI1</v>
          </cell>
          <cell r="B553">
            <v>0.35</v>
          </cell>
          <cell r="C553" t="str">
            <v>7X12419BAL1</v>
          </cell>
          <cell r="D553">
            <v>94600</v>
          </cell>
          <cell r="E553" t="str">
            <v>23/09/2013</v>
          </cell>
        </row>
        <row r="554">
          <cell r="A554" t="str">
            <v>7X12419BAM1</v>
          </cell>
          <cell r="B554">
            <v>1.43</v>
          </cell>
          <cell r="C554" t="str">
            <v>7X12419BAG1</v>
          </cell>
          <cell r="D554">
            <v>94600</v>
          </cell>
          <cell r="E554" t="str">
            <v>23/09/2013</v>
          </cell>
        </row>
        <row r="555">
          <cell r="A555" t="str">
            <v>7X12501AAG1</v>
          </cell>
          <cell r="B555">
            <v>0.25</v>
          </cell>
          <cell r="C555" t="str">
            <v>7X12501AAI1</v>
          </cell>
          <cell r="D555">
            <v>94600</v>
          </cell>
          <cell r="E555" t="str">
            <v>23/09/2013</v>
          </cell>
        </row>
        <row r="556">
          <cell r="A556" t="str">
            <v>7X12501AAI1</v>
          </cell>
          <cell r="B556">
            <v>0.35</v>
          </cell>
          <cell r="C556" t="str">
            <v>7X13902AAL1</v>
          </cell>
          <cell r="D556">
            <v>94600</v>
          </cell>
          <cell r="E556" t="str">
            <v>23/09/2013</v>
          </cell>
        </row>
        <row r="557">
          <cell r="A557" t="str">
            <v>7X12501AAM1</v>
          </cell>
          <cell r="B557">
            <v>1.43</v>
          </cell>
          <cell r="C557" t="str">
            <v>7X12501AAG1</v>
          </cell>
          <cell r="D557">
            <v>94600</v>
          </cell>
          <cell r="E557" t="str">
            <v>23/09/2013</v>
          </cell>
        </row>
        <row r="558">
          <cell r="A558" t="str">
            <v>7X13101AAG1</v>
          </cell>
          <cell r="B558">
            <v>0</v>
          </cell>
          <cell r="C558" t="str">
            <v>7X13101AAI1</v>
          </cell>
          <cell r="D558">
            <v>94600</v>
          </cell>
          <cell r="E558" t="str">
            <v>23/09/2013</v>
          </cell>
        </row>
        <row r="559">
          <cell r="A559" t="str">
            <v>7X13101AAI1</v>
          </cell>
          <cell r="B559">
            <v>0</v>
          </cell>
          <cell r="C559" t="str">
            <v>7X13101AAL1</v>
          </cell>
          <cell r="D559">
            <v>94600</v>
          </cell>
          <cell r="E559" t="str">
            <v>23/09/2013</v>
          </cell>
        </row>
        <row r="560">
          <cell r="A560" t="str">
            <v>7X13101AAM1</v>
          </cell>
          <cell r="B560">
            <v>0</v>
          </cell>
          <cell r="C560" t="str">
            <v>7X13101AAG1</v>
          </cell>
          <cell r="D560">
            <v>94600</v>
          </cell>
          <cell r="E560" t="str">
            <v>23/09/2013</v>
          </cell>
        </row>
        <row r="561">
          <cell r="A561" t="str">
            <v>7X13501AAG1</v>
          </cell>
          <cell r="B561">
            <v>0.9</v>
          </cell>
          <cell r="C561" t="str">
            <v>7X13501AAI1</v>
          </cell>
          <cell r="D561">
            <v>94600</v>
          </cell>
          <cell r="E561" t="str">
            <v>23/09/2013</v>
          </cell>
        </row>
        <row r="562">
          <cell r="A562" t="str">
            <v>7X13501AAI1</v>
          </cell>
          <cell r="B562">
            <v>0</v>
          </cell>
          <cell r="C562" t="str">
            <v>7X13501AAL1</v>
          </cell>
          <cell r="D562">
            <v>94600</v>
          </cell>
          <cell r="E562" t="str">
            <v>23/09/2013</v>
          </cell>
        </row>
        <row r="563">
          <cell r="A563" t="str">
            <v>7X13501ABM1</v>
          </cell>
          <cell r="B563">
            <v>1.54</v>
          </cell>
          <cell r="C563" t="str">
            <v>7X13501AAG1</v>
          </cell>
          <cell r="D563">
            <v>94600</v>
          </cell>
          <cell r="E563" t="str">
            <v>23/09/2013</v>
          </cell>
        </row>
        <row r="564">
          <cell r="A564" t="str">
            <v>7X13501CAM1</v>
          </cell>
          <cell r="B564">
            <v>2.1</v>
          </cell>
          <cell r="C564" t="str">
            <v>7X13501AAG1</v>
          </cell>
          <cell r="D564">
            <v>94600</v>
          </cell>
          <cell r="E564" t="str">
            <v>23/09/2013</v>
          </cell>
        </row>
        <row r="565">
          <cell r="A565" t="str">
            <v>7X13501EAM1</v>
          </cell>
          <cell r="B565">
            <v>2.1</v>
          </cell>
          <cell r="C565" t="str">
            <v>7X13501AAG1</v>
          </cell>
          <cell r="D565">
            <v>94600</v>
          </cell>
          <cell r="E565" t="str">
            <v>23/09/2013</v>
          </cell>
        </row>
        <row r="566">
          <cell r="A566" t="str">
            <v>7X13502AAG1</v>
          </cell>
          <cell r="B566">
            <v>0.18</v>
          </cell>
          <cell r="C566" t="str">
            <v>7X13502AAI1</v>
          </cell>
          <cell r="D566">
            <v>94600</v>
          </cell>
          <cell r="E566" t="str">
            <v>23/09/2013</v>
          </cell>
        </row>
        <row r="567">
          <cell r="A567" t="str">
            <v>7X13502AAI1</v>
          </cell>
          <cell r="B567">
            <v>0.45</v>
          </cell>
          <cell r="C567" t="str">
            <v>7X13501AAL1</v>
          </cell>
          <cell r="D567">
            <v>94600</v>
          </cell>
          <cell r="E567" t="str">
            <v>23/09/2013</v>
          </cell>
        </row>
        <row r="568">
          <cell r="A568" t="str">
            <v>7X13502AAM1</v>
          </cell>
          <cell r="B568">
            <v>1.54</v>
          </cell>
          <cell r="C568" t="str">
            <v>7X13502AAG1</v>
          </cell>
          <cell r="D568">
            <v>94600</v>
          </cell>
          <cell r="E568" t="str">
            <v>23/09/2013</v>
          </cell>
        </row>
        <row r="569">
          <cell r="A569" t="str">
            <v>7X13601AAG1</v>
          </cell>
          <cell r="B569">
            <v>0.25</v>
          </cell>
          <cell r="C569" t="str">
            <v>7X13601AAI1</v>
          </cell>
          <cell r="D569">
            <v>94600</v>
          </cell>
          <cell r="E569" t="str">
            <v>23/09/2013</v>
          </cell>
        </row>
        <row r="570">
          <cell r="A570" t="str">
            <v>7X13601AAI1</v>
          </cell>
          <cell r="B570">
            <v>0.35</v>
          </cell>
          <cell r="C570" t="str">
            <v>7X13601AAL1</v>
          </cell>
          <cell r="D570">
            <v>94600</v>
          </cell>
          <cell r="E570" t="str">
            <v>23/09/2013</v>
          </cell>
        </row>
        <row r="571">
          <cell r="A571" t="str">
            <v>7X13601AAM1</v>
          </cell>
          <cell r="B571">
            <v>1.54</v>
          </cell>
          <cell r="C571" t="str">
            <v>7X13601AAG1</v>
          </cell>
          <cell r="D571">
            <v>94600</v>
          </cell>
          <cell r="E571" t="str">
            <v>23/09/2013</v>
          </cell>
        </row>
        <row r="572">
          <cell r="A572" t="str">
            <v>7X13601BAM1</v>
          </cell>
          <cell r="B572">
            <v>1.43</v>
          </cell>
          <cell r="C572" t="str">
            <v>7X13601AAG1</v>
          </cell>
          <cell r="D572">
            <v>94600</v>
          </cell>
          <cell r="E572" t="str">
            <v>23/09/2013</v>
          </cell>
        </row>
        <row r="573">
          <cell r="A573" t="str">
            <v>7X13602AAG2</v>
          </cell>
          <cell r="B573">
            <v>0.8</v>
          </cell>
          <cell r="C573" t="str">
            <v>7X13602AAI2</v>
          </cell>
          <cell r="D573">
            <v>94600</v>
          </cell>
          <cell r="E573" t="str">
            <v>23/09/2013</v>
          </cell>
        </row>
        <row r="574">
          <cell r="A574" t="str">
            <v>7X13602AAI2</v>
          </cell>
          <cell r="B574">
            <v>0</v>
          </cell>
          <cell r="C574" t="str">
            <v>7X13602AAL2</v>
          </cell>
          <cell r="D574">
            <v>94600</v>
          </cell>
          <cell r="E574" t="str">
            <v>23/09/2013</v>
          </cell>
        </row>
        <row r="575">
          <cell r="A575" t="str">
            <v>7X13602AAM2</v>
          </cell>
          <cell r="B575">
            <v>2.2999999999999998</v>
          </cell>
          <cell r="C575" t="str">
            <v>7X13602AAG2</v>
          </cell>
          <cell r="D575">
            <v>94600</v>
          </cell>
          <cell r="E575" t="str">
            <v>23/09/2013</v>
          </cell>
        </row>
        <row r="576">
          <cell r="A576" t="str">
            <v>7X13602BAG1</v>
          </cell>
          <cell r="B576">
            <v>0.25</v>
          </cell>
          <cell r="C576" t="str">
            <v>7X13602BAI1</v>
          </cell>
          <cell r="D576">
            <v>94600</v>
          </cell>
          <cell r="E576" t="str">
            <v>23/09/2013</v>
          </cell>
        </row>
        <row r="577">
          <cell r="A577" t="str">
            <v>7X13602BAI1</v>
          </cell>
          <cell r="B577">
            <v>0.35</v>
          </cell>
          <cell r="C577" t="str">
            <v>7X13602BAL1</v>
          </cell>
          <cell r="D577">
            <v>94600</v>
          </cell>
          <cell r="E577" t="str">
            <v>23/09/2013</v>
          </cell>
        </row>
        <row r="578">
          <cell r="A578" t="str">
            <v>7X13602CAM1</v>
          </cell>
          <cell r="B578">
            <v>1.43</v>
          </cell>
          <cell r="C578" t="str">
            <v>7X13602BAG1</v>
          </cell>
          <cell r="D578">
            <v>94600</v>
          </cell>
          <cell r="E578" t="str">
            <v>23/09/2013</v>
          </cell>
        </row>
        <row r="579">
          <cell r="A579" t="str">
            <v>7X13602EAM1</v>
          </cell>
          <cell r="B579">
            <v>2.1</v>
          </cell>
          <cell r="C579" t="str">
            <v>7X13602AAG2</v>
          </cell>
          <cell r="D579">
            <v>94600</v>
          </cell>
          <cell r="E579" t="str">
            <v>23/09/2013</v>
          </cell>
        </row>
        <row r="580">
          <cell r="A580" t="str">
            <v>7X13602GAM1</v>
          </cell>
          <cell r="B580">
            <v>1</v>
          </cell>
          <cell r="C580" t="str">
            <v>7X13602BAG1</v>
          </cell>
          <cell r="D580">
            <v>94600</v>
          </cell>
          <cell r="E580" t="str">
            <v>23/09/2013</v>
          </cell>
        </row>
        <row r="581">
          <cell r="A581" t="str">
            <v>7X13602IAG1</v>
          </cell>
          <cell r="B581">
            <v>0.25</v>
          </cell>
          <cell r="C581" t="str">
            <v>7X13602IAI1</v>
          </cell>
          <cell r="D581">
            <v>94600</v>
          </cell>
          <cell r="E581" t="str">
            <v>23/09/2013</v>
          </cell>
        </row>
        <row r="582">
          <cell r="A582" t="str">
            <v>7X13602IAI1</v>
          </cell>
          <cell r="B582">
            <v>0.35</v>
          </cell>
          <cell r="C582" t="str">
            <v>7X13602IAL1</v>
          </cell>
          <cell r="D582">
            <v>94600</v>
          </cell>
          <cell r="E582" t="str">
            <v>23/09/2013</v>
          </cell>
        </row>
        <row r="583">
          <cell r="A583" t="str">
            <v>7X13602IAM1</v>
          </cell>
          <cell r="B583">
            <v>1.43</v>
          </cell>
          <cell r="C583" t="str">
            <v>7X13602IAG1</v>
          </cell>
          <cell r="D583">
            <v>94600</v>
          </cell>
          <cell r="E583" t="str">
            <v>23/09/2013</v>
          </cell>
        </row>
        <row r="584">
          <cell r="A584" t="str">
            <v>7X13602KAG1</v>
          </cell>
          <cell r="B584">
            <v>0.25</v>
          </cell>
          <cell r="C584" t="str">
            <v>7X13602KAI1</v>
          </cell>
          <cell r="D584">
            <v>94600</v>
          </cell>
          <cell r="E584" t="str">
            <v>23/09/2013</v>
          </cell>
        </row>
        <row r="585">
          <cell r="A585" t="str">
            <v>7X13602KAI1</v>
          </cell>
          <cell r="B585">
            <v>0.35</v>
          </cell>
          <cell r="C585" t="str">
            <v>7X13602KAL1</v>
          </cell>
          <cell r="D585">
            <v>94600</v>
          </cell>
          <cell r="E585" t="str">
            <v>23/09/2013</v>
          </cell>
        </row>
        <row r="586">
          <cell r="A586" t="str">
            <v>7X13602KAM1</v>
          </cell>
          <cell r="B586">
            <v>1.43</v>
          </cell>
          <cell r="C586" t="str">
            <v>7X13602KAG1</v>
          </cell>
          <cell r="D586">
            <v>94600</v>
          </cell>
          <cell r="E586" t="str">
            <v>23/09/2013</v>
          </cell>
        </row>
        <row r="587">
          <cell r="A587" t="str">
            <v>7X13605AAG1</v>
          </cell>
          <cell r="B587">
            <v>0.25</v>
          </cell>
          <cell r="C587" t="str">
            <v>7X13605AAI1</v>
          </cell>
          <cell r="D587">
            <v>94600</v>
          </cell>
          <cell r="E587" t="str">
            <v>23/09/2013</v>
          </cell>
        </row>
        <row r="588">
          <cell r="A588" t="str">
            <v>7X13605AAI1</v>
          </cell>
          <cell r="B588">
            <v>0.35</v>
          </cell>
          <cell r="C588" t="str">
            <v>7X13605AAL1</v>
          </cell>
          <cell r="D588">
            <v>94600</v>
          </cell>
          <cell r="E588" t="str">
            <v>23/09/2013</v>
          </cell>
        </row>
        <row r="589">
          <cell r="A589" t="str">
            <v>7X13605AAM1</v>
          </cell>
          <cell r="B589">
            <v>1.43</v>
          </cell>
          <cell r="C589" t="str">
            <v>7X13605AAG1</v>
          </cell>
          <cell r="D589">
            <v>94600</v>
          </cell>
          <cell r="E589" t="str">
            <v>23/09/2013</v>
          </cell>
        </row>
        <row r="590">
          <cell r="A590" t="str">
            <v>7X13606AAG1</v>
          </cell>
          <cell r="B590">
            <v>0.25</v>
          </cell>
          <cell r="C590" t="str">
            <v>7X13606AAI1</v>
          </cell>
          <cell r="D590">
            <v>94600</v>
          </cell>
          <cell r="E590" t="str">
            <v>23/09/2013</v>
          </cell>
        </row>
        <row r="591">
          <cell r="A591" t="str">
            <v>7X13606AAI1</v>
          </cell>
          <cell r="B591">
            <v>0.35</v>
          </cell>
          <cell r="C591" t="str">
            <v>7X13602BAL1</v>
          </cell>
          <cell r="D591">
            <v>94600</v>
          </cell>
          <cell r="E591" t="str">
            <v>23/09/2013</v>
          </cell>
        </row>
        <row r="592">
          <cell r="A592" t="str">
            <v>7X13606AAM1</v>
          </cell>
          <cell r="B592">
            <v>1.43</v>
          </cell>
          <cell r="C592" t="str">
            <v>7X13606AAG1</v>
          </cell>
          <cell r="D592">
            <v>94600</v>
          </cell>
          <cell r="E592" t="str">
            <v>23/09/2013</v>
          </cell>
        </row>
        <row r="593">
          <cell r="A593" t="str">
            <v>7X13701AAG1</v>
          </cell>
          <cell r="B593">
            <v>0.25</v>
          </cell>
          <cell r="C593" t="str">
            <v>7X13701AAI1</v>
          </cell>
          <cell r="D593">
            <v>94600</v>
          </cell>
          <cell r="E593" t="str">
            <v>23/09/2013</v>
          </cell>
        </row>
        <row r="594">
          <cell r="A594" t="str">
            <v>7X13701AAG1-1</v>
          </cell>
          <cell r="B594">
            <v>0.8</v>
          </cell>
          <cell r="C594" t="str">
            <v>7X13701AAI1-1</v>
          </cell>
          <cell r="D594">
            <v>94600</v>
          </cell>
          <cell r="E594" t="str">
            <v>23/09/2013</v>
          </cell>
        </row>
        <row r="595">
          <cell r="A595" t="str">
            <v>7X13701AAI1</v>
          </cell>
          <cell r="B595">
            <v>0.35</v>
          </cell>
          <cell r="C595" t="str">
            <v>7X13701AAL1</v>
          </cell>
          <cell r="D595">
            <v>94600</v>
          </cell>
          <cell r="E595" t="str">
            <v>23/09/2013</v>
          </cell>
        </row>
        <row r="596">
          <cell r="A596" t="str">
            <v>7X13701AAI1-1</v>
          </cell>
          <cell r="B596">
            <v>0</v>
          </cell>
          <cell r="C596" t="str">
            <v>7X13701AAL1-1</v>
          </cell>
          <cell r="D596">
            <v>94600</v>
          </cell>
          <cell r="E596" t="str">
            <v>23/09/2013</v>
          </cell>
        </row>
        <row r="597">
          <cell r="A597" t="str">
            <v>7X13701CAG1</v>
          </cell>
          <cell r="B597">
            <v>0.8</v>
          </cell>
          <cell r="C597" t="str">
            <v>7X13701CAI1</v>
          </cell>
          <cell r="D597">
            <v>94600</v>
          </cell>
          <cell r="E597" t="str">
            <v>23/09/2013</v>
          </cell>
        </row>
        <row r="598">
          <cell r="A598" t="str">
            <v>7X13701CAI1</v>
          </cell>
          <cell r="B598">
            <v>0</v>
          </cell>
          <cell r="C598" t="str">
            <v>7X13701CAL1</v>
          </cell>
          <cell r="D598">
            <v>94600</v>
          </cell>
          <cell r="E598" t="str">
            <v>23/09/2013</v>
          </cell>
        </row>
        <row r="599">
          <cell r="A599" t="str">
            <v>7X13701CAM1</v>
          </cell>
          <cell r="B599">
            <v>2.4</v>
          </cell>
          <cell r="C599" t="str">
            <v>7X13701CAG1</v>
          </cell>
          <cell r="D599">
            <v>94600</v>
          </cell>
          <cell r="E599" t="str">
            <v>23/09/2013</v>
          </cell>
        </row>
        <row r="600">
          <cell r="A600" t="str">
            <v>7X13701DAM1</v>
          </cell>
          <cell r="B600">
            <v>1.43</v>
          </cell>
          <cell r="C600" t="str">
            <v>7X13701AAG1</v>
          </cell>
          <cell r="D600">
            <v>94600</v>
          </cell>
          <cell r="E600" t="str">
            <v>23/09/2013</v>
          </cell>
        </row>
        <row r="601">
          <cell r="A601" t="str">
            <v>7X13701DAM1-1</v>
          </cell>
          <cell r="B601">
            <v>2.1</v>
          </cell>
          <cell r="C601" t="str">
            <v>7X13701AAG1-1</v>
          </cell>
          <cell r="D601">
            <v>94600</v>
          </cell>
          <cell r="E601" t="str">
            <v>23/09/2013</v>
          </cell>
        </row>
        <row r="602">
          <cell r="A602" t="str">
            <v>7X13701DAM2</v>
          </cell>
          <cell r="B602">
            <v>2.1</v>
          </cell>
          <cell r="C602" t="str">
            <v>7X13701AAG1</v>
          </cell>
          <cell r="D602">
            <v>94600</v>
          </cell>
          <cell r="E602" t="str">
            <v>23/09/2013</v>
          </cell>
        </row>
        <row r="603">
          <cell r="A603" t="str">
            <v>7X13702AAG1</v>
          </cell>
          <cell r="B603">
            <v>0.8</v>
          </cell>
          <cell r="C603" t="str">
            <v>7X13702AAI1</v>
          </cell>
          <cell r="D603">
            <v>94600</v>
          </cell>
          <cell r="E603" t="str">
            <v>23/09/2013</v>
          </cell>
        </row>
        <row r="604">
          <cell r="A604" t="str">
            <v>7X13702AAI1</v>
          </cell>
          <cell r="B604">
            <v>0</v>
          </cell>
          <cell r="C604" t="str">
            <v>7X13702AAL1</v>
          </cell>
          <cell r="D604">
            <v>94600</v>
          </cell>
          <cell r="E604" t="str">
            <v>23/09/2013</v>
          </cell>
        </row>
        <row r="605">
          <cell r="A605" t="str">
            <v>7X13702BAM1</v>
          </cell>
          <cell r="B605">
            <v>2.1</v>
          </cell>
          <cell r="C605" t="str">
            <v>7X13702AAG1</v>
          </cell>
          <cell r="D605">
            <v>94600</v>
          </cell>
          <cell r="E605" t="str">
            <v>23/09/2013</v>
          </cell>
        </row>
        <row r="606">
          <cell r="A606" t="str">
            <v>7X13702DAG1</v>
          </cell>
          <cell r="B606">
            <v>0.25</v>
          </cell>
          <cell r="C606" t="str">
            <v>7X13702DAI1</v>
          </cell>
          <cell r="D606">
            <v>94600</v>
          </cell>
          <cell r="E606" t="str">
            <v>23/09/2013</v>
          </cell>
        </row>
        <row r="607">
          <cell r="A607" t="str">
            <v>7X13702DAI1</v>
          </cell>
          <cell r="B607">
            <v>0.35</v>
          </cell>
          <cell r="C607" t="str">
            <v>7X13702DAL1</v>
          </cell>
          <cell r="D607">
            <v>94600</v>
          </cell>
          <cell r="E607" t="str">
            <v>23/09/2013</v>
          </cell>
        </row>
        <row r="608">
          <cell r="A608" t="str">
            <v>7X13702DAM1</v>
          </cell>
          <cell r="B608">
            <v>1.43</v>
          </cell>
          <cell r="C608" t="str">
            <v>7X13702DAG1</v>
          </cell>
          <cell r="D608">
            <v>94600</v>
          </cell>
          <cell r="E608" t="str">
            <v>23/09/2013</v>
          </cell>
        </row>
        <row r="609">
          <cell r="A609" t="str">
            <v>7X13704ABG1</v>
          </cell>
          <cell r="B609">
            <v>0.25</v>
          </cell>
          <cell r="C609" t="str">
            <v>7X13704ABI1</v>
          </cell>
          <cell r="D609">
            <v>94600</v>
          </cell>
          <cell r="E609" t="str">
            <v>23/09/2013</v>
          </cell>
        </row>
        <row r="610">
          <cell r="A610" t="str">
            <v>7X13704ABI1</v>
          </cell>
          <cell r="B610">
            <v>0.35</v>
          </cell>
          <cell r="C610" t="str">
            <v>7X13701AAL1</v>
          </cell>
          <cell r="D610">
            <v>94600</v>
          </cell>
          <cell r="E610" t="str">
            <v>23/09/2013</v>
          </cell>
        </row>
        <row r="611">
          <cell r="A611" t="str">
            <v>7X13704ABM1</v>
          </cell>
          <cell r="B611">
            <v>1.43</v>
          </cell>
          <cell r="C611" t="str">
            <v>7X13704ABG1</v>
          </cell>
          <cell r="D611">
            <v>94600</v>
          </cell>
          <cell r="E611" t="str">
            <v>23/09/2013</v>
          </cell>
        </row>
        <row r="612">
          <cell r="A612" t="str">
            <v>7X13704CAG1</v>
          </cell>
          <cell r="B612">
            <v>0.25</v>
          </cell>
          <cell r="C612" t="str">
            <v>7X13704CAI1</v>
          </cell>
          <cell r="D612">
            <v>94600</v>
          </cell>
          <cell r="E612" t="str">
            <v>23/09/2013</v>
          </cell>
        </row>
        <row r="613">
          <cell r="A613" t="str">
            <v>7X13704CAI1</v>
          </cell>
          <cell r="B613">
            <v>0.35</v>
          </cell>
          <cell r="C613" t="str">
            <v>7X13704CAL1</v>
          </cell>
          <cell r="D613">
            <v>94600</v>
          </cell>
          <cell r="E613" t="str">
            <v>23/09/2013</v>
          </cell>
        </row>
        <row r="614">
          <cell r="A614" t="str">
            <v>7X13704CAM1</v>
          </cell>
          <cell r="B614">
            <v>1.43</v>
          </cell>
          <cell r="C614" t="str">
            <v>7X13704CAG1</v>
          </cell>
          <cell r="D614">
            <v>94600</v>
          </cell>
          <cell r="E614" t="str">
            <v>23/09/2013</v>
          </cell>
        </row>
        <row r="615">
          <cell r="A615" t="str">
            <v>7X13705BAG1</v>
          </cell>
          <cell r="B615">
            <v>0.25</v>
          </cell>
          <cell r="C615" t="str">
            <v>7X13705BAI1</v>
          </cell>
          <cell r="D615">
            <v>94600</v>
          </cell>
          <cell r="E615" t="str">
            <v>23/09/2013</v>
          </cell>
        </row>
        <row r="616">
          <cell r="A616" t="str">
            <v>7X13705BAI1</v>
          </cell>
          <cell r="B616">
            <v>0.35</v>
          </cell>
          <cell r="C616" t="str">
            <v>7X13702DAL1</v>
          </cell>
          <cell r="D616">
            <v>94600</v>
          </cell>
          <cell r="E616" t="str">
            <v>23/09/2013</v>
          </cell>
        </row>
        <row r="617">
          <cell r="A617" t="str">
            <v>7X13705BAM1</v>
          </cell>
          <cell r="B617">
            <v>1.43</v>
          </cell>
          <cell r="C617" t="str">
            <v>7X13705BAG1</v>
          </cell>
          <cell r="D617">
            <v>94600</v>
          </cell>
          <cell r="E617" t="str">
            <v>23/09/2013</v>
          </cell>
        </row>
        <row r="618">
          <cell r="A618" t="str">
            <v>7X13705DAM1</v>
          </cell>
          <cell r="B618">
            <v>1.43</v>
          </cell>
          <cell r="C618" t="str">
            <v>7X13705BAG1</v>
          </cell>
          <cell r="D618">
            <v>94600</v>
          </cell>
          <cell r="E618" t="str">
            <v>23/09/2013</v>
          </cell>
        </row>
        <row r="619">
          <cell r="A619" t="str">
            <v>7X13901AAG1</v>
          </cell>
          <cell r="B619">
            <v>0.25</v>
          </cell>
          <cell r="C619" t="str">
            <v>7X13901AAI1</v>
          </cell>
          <cell r="D619">
            <v>94600</v>
          </cell>
          <cell r="E619" t="str">
            <v>23/09/2013</v>
          </cell>
        </row>
        <row r="620">
          <cell r="A620" t="str">
            <v>7X13901AAI1</v>
          </cell>
          <cell r="B620">
            <v>0.35</v>
          </cell>
          <cell r="C620" t="str">
            <v>7X13901AAL1</v>
          </cell>
          <cell r="D620">
            <v>94600</v>
          </cell>
          <cell r="E620" t="str">
            <v>23/09/2013</v>
          </cell>
        </row>
        <row r="621">
          <cell r="A621" t="str">
            <v>7X13901AAM1</v>
          </cell>
          <cell r="B621">
            <v>1.43</v>
          </cell>
          <cell r="C621" t="str">
            <v>7X13901AAG1</v>
          </cell>
          <cell r="D621">
            <v>94600</v>
          </cell>
          <cell r="E621" t="str">
            <v>23/09/2013</v>
          </cell>
        </row>
        <row r="622">
          <cell r="A622" t="str">
            <v>7X13901CAM1</v>
          </cell>
          <cell r="B622">
            <v>1.43</v>
          </cell>
          <cell r="C622" t="str">
            <v>7X13902BAG1</v>
          </cell>
          <cell r="D622">
            <v>94600</v>
          </cell>
          <cell r="E622" t="str">
            <v>23/09/2013</v>
          </cell>
        </row>
        <row r="623">
          <cell r="A623" t="str">
            <v>7X13902AAG1</v>
          </cell>
          <cell r="B623">
            <v>0.18</v>
          </cell>
          <cell r="C623" t="str">
            <v>7X13901AAI1</v>
          </cell>
          <cell r="D623">
            <v>94600</v>
          </cell>
          <cell r="E623" t="str">
            <v>23/09/2013</v>
          </cell>
        </row>
        <row r="624">
          <cell r="A624" t="str">
            <v>7X13902AAI1</v>
          </cell>
          <cell r="B624">
            <v>0.45</v>
          </cell>
          <cell r="C624" t="str">
            <v>7X13901AAL1</v>
          </cell>
          <cell r="D624">
            <v>94600</v>
          </cell>
          <cell r="E624" t="str">
            <v>23/09/2013</v>
          </cell>
        </row>
        <row r="625">
          <cell r="A625" t="str">
            <v>7X13902AAM1</v>
          </cell>
          <cell r="B625">
            <v>1.5</v>
          </cell>
          <cell r="C625" t="str">
            <v>7X13901AAG1</v>
          </cell>
          <cell r="D625">
            <v>94600</v>
          </cell>
          <cell r="E625" t="str">
            <v>23/09/2013</v>
          </cell>
        </row>
        <row r="626">
          <cell r="A626" t="str">
            <v>7X13902BAG1</v>
          </cell>
          <cell r="B626">
            <v>0.25</v>
          </cell>
          <cell r="C626" t="str">
            <v>7X13902BAI1</v>
          </cell>
          <cell r="D626">
            <v>94600</v>
          </cell>
          <cell r="E626" t="str">
            <v>23/09/2013</v>
          </cell>
        </row>
        <row r="627">
          <cell r="A627" t="str">
            <v>7X13902BAI1</v>
          </cell>
          <cell r="B627">
            <v>0.35</v>
          </cell>
          <cell r="C627" t="str">
            <v>7X13902BAL1</v>
          </cell>
          <cell r="D627">
            <v>94600</v>
          </cell>
          <cell r="E627" t="str">
            <v>23/09/2013</v>
          </cell>
        </row>
        <row r="628">
          <cell r="A628" t="str">
            <v>7X13902BAM1</v>
          </cell>
          <cell r="B628">
            <v>1.43</v>
          </cell>
          <cell r="C628" t="str">
            <v>7X13902BAG1</v>
          </cell>
          <cell r="D628">
            <v>94600</v>
          </cell>
          <cell r="E628" t="str">
            <v>23/09/2013</v>
          </cell>
        </row>
        <row r="629">
          <cell r="A629" t="str">
            <v>7X16001AAG1</v>
          </cell>
          <cell r="B629">
            <v>0.25</v>
          </cell>
          <cell r="C629" t="str">
            <v>7X16001AAI1</v>
          </cell>
          <cell r="D629">
            <v>94600</v>
          </cell>
          <cell r="E629" t="str">
            <v>23/09/2013</v>
          </cell>
        </row>
        <row r="630">
          <cell r="A630" t="str">
            <v>7X16001AAI1</v>
          </cell>
          <cell r="B630">
            <v>0.35</v>
          </cell>
          <cell r="C630" t="str">
            <v>7X16001AAL1</v>
          </cell>
          <cell r="D630">
            <v>94600</v>
          </cell>
          <cell r="E630" t="str">
            <v>23/09/2013</v>
          </cell>
        </row>
        <row r="631">
          <cell r="A631" t="str">
            <v>7X16001AAM1</v>
          </cell>
          <cell r="B631">
            <v>1.54</v>
          </cell>
          <cell r="C631" t="str">
            <v>7X16001AAG1</v>
          </cell>
          <cell r="D631">
            <v>94600</v>
          </cell>
          <cell r="E631" t="str">
            <v>23/09/2013</v>
          </cell>
        </row>
        <row r="632">
          <cell r="A632" t="str">
            <v>7X16001DAM1</v>
          </cell>
          <cell r="B632">
            <v>1.54</v>
          </cell>
          <cell r="C632" t="str">
            <v>7X16001AAG1</v>
          </cell>
          <cell r="D632">
            <v>94600</v>
          </cell>
          <cell r="E632" t="str">
            <v>23/09/2013</v>
          </cell>
        </row>
        <row r="633">
          <cell r="A633" t="str">
            <v>7X16001EAM1</v>
          </cell>
          <cell r="B633">
            <v>1.43</v>
          </cell>
          <cell r="C633" t="str">
            <v>7X16001AAG1</v>
          </cell>
          <cell r="D633">
            <v>94600</v>
          </cell>
          <cell r="E633" t="str">
            <v>23/09/2013</v>
          </cell>
        </row>
        <row r="634">
          <cell r="A634" t="str">
            <v>7X16001FAG1</v>
          </cell>
          <cell r="B634">
            <v>0.25</v>
          </cell>
          <cell r="C634" t="str">
            <v>7X16001FAI1</v>
          </cell>
          <cell r="D634">
            <v>94600</v>
          </cell>
          <cell r="E634" t="str">
            <v>23/09/2013</v>
          </cell>
        </row>
        <row r="635">
          <cell r="A635" t="str">
            <v>7X16001FAI1</v>
          </cell>
          <cell r="B635">
            <v>0.35</v>
          </cell>
          <cell r="C635" t="str">
            <v>7X16001FAL1</v>
          </cell>
          <cell r="D635">
            <v>94600</v>
          </cell>
          <cell r="E635" t="str">
            <v>23/09/2013</v>
          </cell>
        </row>
        <row r="636">
          <cell r="A636" t="str">
            <v>7X16001FAM1</v>
          </cell>
          <cell r="B636">
            <v>2.2999999999999998</v>
          </cell>
          <cell r="C636" t="str">
            <v>7X16001FAG1</v>
          </cell>
          <cell r="D636">
            <v>94600</v>
          </cell>
          <cell r="E636" t="str">
            <v>23/09/2013</v>
          </cell>
        </row>
        <row r="637">
          <cell r="A637" t="str">
            <v>7X16001GAG1</v>
          </cell>
          <cell r="B637">
            <v>0.25</v>
          </cell>
          <cell r="C637" t="str">
            <v>7X16001GAI1</v>
          </cell>
          <cell r="D637">
            <v>94600</v>
          </cell>
          <cell r="E637" t="str">
            <v>23/09/2013</v>
          </cell>
        </row>
        <row r="638">
          <cell r="A638" t="str">
            <v>7X16001GAI1</v>
          </cell>
          <cell r="B638">
            <v>0.35</v>
          </cell>
          <cell r="C638" t="str">
            <v>7X16001FAL1</v>
          </cell>
          <cell r="D638">
            <v>94600</v>
          </cell>
          <cell r="E638" t="str">
            <v>23/09/2013</v>
          </cell>
        </row>
        <row r="639">
          <cell r="A639" t="str">
            <v>7X16001GAM1</v>
          </cell>
          <cell r="B639">
            <v>1.43</v>
          </cell>
          <cell r="C639" t="str">
            <v>7X16001GAG1</v>
          </cell>
          <cell r="D639">
            <v>94600</v>
          </cell>
          <cell r="E639" t="str">
            <v>23/09/2013</v>
          </cell>
        </row>
        <row r="640">
          <cell r="A640" t="str">
            <v>7X16001HAM1</v>
          </cell>
          <cell r="B640">
            <v>1.43</v>
          </cell>
          <cell r="C640" t="str">
            <v>7X16001AAG1</v>
          </cell>
          <cell r="D640">
            <v>94600</v>
          </cell>
          <cell r="E640" t="str">
            <v>23/09/2013</v>
          </cell>
        </row>
        <row r="641">
          <cell r="A641" t="str">
            <v>7X16001IAM1</v>
          </cell>
          <cell r="B641">
            <v>1.43</v>
          </cell>
          <cell r="C641" t="str">
            <v>7X16001AAG1</v>
          </cell>
          <cell r="D641">
            <v>94600</v>
          </cell>
          <cell r="E641" t="str">
            <v>23/09/2013</v>
          </cell>
        </row>
        <row r="642">
          <cell r="A642" t="str">
            <v>7X16001KAM1</v>
          </cell>
          <cell r="B642">
            <v>1.43</v>
          </cell>
          <cell r="C642" t="str">
            <v>7X16001AAG1</v>
          </cell>
          <cell r="D642">
            <v>94600</v>
          </cell>
          <cell r="E642" t="str">
            <v>23/09/2013</v>
          </cell>
        </row>
        <row r="643">
          <cell r="A643" t="str">
            <v>7X16002AAG1</v>
          </cell>
          <cell r="B643">
            <v>0.25</v>
          </cell>
          <cell r="C643" t="str">
            <v>7X16002AAI1</v>
          </cell>
          <cell r="D643">
            <v>94600</v>
          </cell>
          <cell r="E643" t="str">
            <v>23/09/2013</v>
          </cell>
        </row>
        <row r="644">
          <cell r="A644" t="str">
            <v>7X16002AAI1</v>
          </cell>
          <cell r="B644">
            <v>0.35</v>
          </cell>
          <cell r="C644" t="str">
            <v>7X16001AAL1</v>
          </cell>
          <cell r="D644">
            <v>94600</v>
          </cell>
          <cell r="E644" t="str">
            <v>23/09/2013</v>
          </cell>
        </row>
        <row r="645">
          <cell r="A645" t="str">
            <v>7X16002AAM1</v>
          </cell>
          <cell r="B645">
            <v>1.54</v>
          </cell>
          <cell r="C645" t="str">
            <v>7X16002AAG1</v>
          </cell>
          <cell r="D645">
            <v>94600</v>
          </cell>
          <cell r="E645" t="str">
            <v>23/09/2013</v>
          </cell>
        </row>
        <row r="646">
          <cell r="A646" t="str">
            <v>7X16002BAM1</v>
          </cell>
          <cell r="B646">
            <v>1.54</v>
          </cell>
          <cell r="C646" t="str">
            <v>7X16002AAG1</v>
          </cell>
          <cell r="D646">
            <v>94600</v>
          </cell>
          <cell r="E646" t="str">
            <v>23/09/2013</v>
          </cell>
        </row>
        <row r="647">
          <cell r="A647" t="str">
            <v>7X16002EAM1</v>
          </cell>
          <cell r="B647">
            <v>2.4</v>
          </cell>
          <cell r="C647" t="str">
            <v>7X16002AAG1</v>
          </cell>
          <cell r="D647">
            <v>94600</v>
          </cell>
          <cell r="E647" t="str">
            <v>23/09/2013</v>
          </cell>
        </row>
        <row r="648">
          <cell r="A648" t="str">
            <v>7X16002FAM1</v>
          </cell>
          <cell r="B648">
            <v>1.43</v>
          </cell>
          <cell r="C648" t="str">
            <v>7X16002AAG1</v>
          </cell>
          <cell r="D648">
            <v>94600</v>
          </cell>
          <cell r="E648" t="str">
            <v>23/09/2013</v>
          </cell>
        </row>
        <row r="649">
          <cell r="A649" t="str">
            <v>7X16002GAM1</v>
          </cell>
          <cell r="B649">
            <v>2.2999999999999998</v>
          </cell>
          <cell r="C649" t="str">
            <v>7X16002AAG1</v>
          </cell>
          <cell r="D649">
            <v>94600</v>
          </cell>
          <cell r="E649" t="str">
            <v>23/09/2013</v>
          </cell>
        </row>
        <row r="650">
          <cell r="A650" t="str">
            <v>7X16002HAM1</v>
          </cell>
          <cell r="B650">
            <v>1.43</v>
          </cell>
          <cell r="C650" t="str">
            <v>7X16002AAG1</v>
          </cell>
          <cell r="D650">
            <v>94600</v>
          </cell>
          <cell r="E650" t="str">
            <v>23/09/2013</v>
          </cell>
        </row>
        <row r="651">
          <cell r="A651" t="str">
            <v>7X16002IAM1</v>
          </cell>
          <cell r="B651">
            <v>1.43</v>
          </cell>
          <cell r="C651" t="str">
            <v>7X16001FAG1</v>
          </cell>
          <cell r="D651">
            <v>94600</v>
          </cell>
          <cell r="E651" t="str">
            <v>23/09/2013</v>
          </cell>
        </row>
        <row r="652">
          <cell r="A652" t="str">
            <v>7X16002LAM1</v>
          </cell>
          <cell r="B652">
            <v>2.2999999999999998</v>
          </cell>
          <cell r="C652" t="str">
            <v>7X16002AAG1</v>
          </cell>
          <cell r="D652">
            <v>94600</v>
          </cell>
          <cell r="E652" t="str">
            <v>23/09/2013</v>
          </cell>
        </row>
        <row r="653">
          <cell r="A653" t="str">
            <v>7X16003AAG1</v>
          </cell>
          <cell r="B653">
            <v>0.25</v>
          </cell>
          <cell r="C653" t="str">
            <v>7X16003AAI1</v>
          </cell>
          <cell r="D653">
            <v>94600</v>
          </cell>
          <cell r="E653" t="str">
            <v>23/09/2013</v>
          </cell>
        </row>
        <row r="654">
          <cell r="A654" t="str">
            <v>7X16003AAI1</v>
          </cell>
          <cell r="B654">
            <v>0.35</v>
          </cell>
          <cell r="C654" t="str">
            <v>70120403AL1</v>
          </cell>
          <cell r="D654">
            <v>94600</v>
          </cell>
          <cell r="E654" t="str">
            <v>23/09/2013</v>
          </cell>
        </row>
        <row r="655">
          <cell r="A655" t="str">
            <v>7X16003EAG1</v>
          </cell>
          <cell r="B655">
            <v>0.25</v>
          </cell>
          <cell r="C655" t="str">
            <v>7X16003EAI1</v>
          </cell>
          <cell r="D655">
            <v>94600</v>
          </cell>
          <cell r="E655" t="str">
            <v>23/09/2013</v>
          </cell>
        </row>
        <row r="656">
          <cell r="A656" t="str">
            <v>7X16003EAI1</v>
          </cell>
          <cell r="B656">
            <v>0.35</v>
          </cell>
          <cell r="C656" t="str">
            <v>7X16003EAL1</v>
          </cell>
          <cell r="D656">
            <v>94600</v>
          </cell>
          <cell r="E656" t="str">
            <v>23/09/2013</v>
          </cell>
        </row>
        <row r="657">
          <cell r="A657" t="str">
            <v>7X16003EAM1</v>
          </cell>
          <cell r="B657">
            <v>1.43</v>
          </cell>
          <cell r="C657" t="str">
            <v>7X16003EAG1</v>
          </cell>
          <cell r="D657">
            <v>94600</v>
          </cell>
          <cell r="E657" t="str">
            <v>23/09/2013</v>
          </cell>
        </row>
        <row r="658">
          <cell r="A658" t="str">
            <v>7X16003FAM1</v>
          </cell>
          <cell r="B658">
            <v>1.43</v>
          </cell>
          <cell r="C658" t="str">
            <v>7X16003AAG1</v>
          </cell>
          <cell r="D658">
            <v>94600</v>
          </cell>
          <cell r="E658" t="str">
            <v>23/09/2013</v>
          </cell>
        </row>
        <row r="659">
          <cell r="A659" t="str">
            <v>7X16003GAM1</v>
          </cell>
          <cell r="B659">
            <v>1.43</v>
          </cell>
          <cell r="C659" t="str">
            <v>7X16003AAG1</v>
          </cell>
          <cell r="D659">
            <v>94600</v>
          </cell>
          <cell r="E659" t="str">
            <v>23/09/2013</v>
          </cell>
        </row>
        <row r="660">
          <cell r="A660" t="str">
            <v>7X16004AAG1</v>
          </cell>
          <cell r="B660">
            <v>0.25</v>
          </cell>
          <cell r="C660" t="str">
            <v>7X16004AAI1</v>
          </cell>
          <cell r="D660">
            <v>94600</v>
          </cell>
          <cell r="E660" t="str">
            <v>23/09/2013</v>
          </cell>
        </row>
        <row r="661">
          <cell r="A661" t="str">
            <v>7X16004AAI1</v>
          </cell>
          <cell r="B661">
            <v>0.35</v>
          </cell>
          <cell r="C661" t="str">
            <v>70120403AL1</v>
          </cell>
          <cell r="D661">
            <v>94600</v>
          </cell>
          <cell r="E661" t="str">
            <v>23/09/2013</v>
          </cell>
        </row>
        <row r="662">
          <cell r="A662" t="str">
            <v>7X16004AAM1</v>
          </cell>
          <cell r="B662">
            <v>1.43</v>
          </cell>
          <cell r="C662" t="str">
            <v>7X16004AAG1</v>
          </cell>
          <cell r="D662">
            <v>94600</v>
          </cell>
          <cell r="E662" t="str">
            <v>23/09/2013</v>
          </cell>
        </row>
        <row r="663">
          <cell r="A663" t="str">
            <v>7X16004BAM1</v>
          </cell>
          <cell r="B663">
            <v>2.2999999999999998</v>
          </cell>
          <cell r="C663" t="str">
            <v>7X16004AAG1</v>
          </cell>
          <cell r="D663">
            <v>94600</v>
          </cell>
          <cell r="E663" t="str">
            <v>23/09/2013</v>
          </cell>
        </row>
        <row r="664">
          <cell r="A664" t="str">
            <v>7X16019AAG1</v>
          </cell>
          <cell r="B664">
            <v>0.25</v>
          </cell>
          <cell r="C664" t="str">
            <v>7X16019AAI1</v>
          </cell>
          <cell r="D664">
            <v>94600</v>
          </cell>
          <cell r="E664" t="str">
            <v>23/09/2013</v>
          </cell>
        </row>
        <row r="665">
          <cell r="A665" t="str">
            <v>7X16019AAI1</v>
          </cell>
          <cell r="B665">
            <v>0.35</v>
          </cell>
          <cell r="C665" t="str">
            <v>70120403AL1</v>
          </cell>
          <cell r="D665">
            <v>94600</v>
          </cell>
          <cell r="E665" t="str">
            <v>23/09/2013</v>
          </cell>
        </row>
        <row r="666">
          <cell r="A666" t="str">
            <v>7X16019AAM1</v>
          </cell>
          <cell r="B666">
            <v>1.54</v>
          </cell>
          <cell r="C666" t="str">
            <v>7X16019AAG1</v>
          </cell>
          <cell r="D666">
            <v>94600</v>
          </cell>
          <cell r="E666" t="str">
            <v>23/09/2013</v>
          </cell>
        </row>
        <row r="667">
          <cell r="A667" t="str">
            <v>7X16019CAM1</v>
          </cell>
          <cell r="B667">
            <v>1.43</v>
          </cell>
          <cell r="C667" t="str">
            <v>7X16019AAG1</v>
          </cell>
          <cell r="D667">
            <v>94600</v>
          </cell>
          <cell r="E667" t="str">
            <v>23/09/2013</v>
          </cell>
        </row>
        <row r="668">
          <cell r="A668" t="str">
            <v>7X21002AAG1</v>
          </cell>
          <cell r="B668">
            <v>0.25</v>
          </cell>
          <cell r="C668" t="str">
            <v>7X21002AAI1</v>
          </cell>
          <cell r="D668">
            <v>94600</v>
          </cell>
          <cell r="E668" t="str">
            <v>23/09/2013</v>
          </cell>
        </row>
        <row r="669">
          <cell r="A669" t="str">
            <v>7X21002AAI1</v>
          </cell>
          <cell r="B669">
            <v>0.35</v>
          </cell>
          <cell r="C669" t="str">
            <v>7X21002AAL1</v>
          </cell>
          <cell r="D669">
            <v>94600</v>
          </cell>
          <cell r="E669" t="str">
            <v>23/09/2013</v>
          </cell>
        </row>
        <row r="670">
          <cell r="A670" t="str">
            <v>7X21002AAM1</v>
          </cell>
          <cell r="B670">
            <v>1.43</v>
          </cell>
          <cell r="C670" t="str">
            <v>7X21002AAG1</v>
          </cell>
          <cell r="D670">
            <v>94600</v>
          </cell>
          <cell r="E670" t="str">
            <v>23/09/2013</v>
          </cell>
        </row>
        <row r="671">
          <cell r="A671" t="str">
            <v>7X21003AAG1</v>
          </cell>
          <cell r="B671">
            <v>0.25</v>
          </cell>
          <cell r="C671" t="str">
            <v>7X21003AAI1</v>
          </cell>
          <cell r="D671">
            <v>94600</v>
          </cell>
          <cell r="E671" t="str">
            <v>23/09/2013</v>
          </cell>
        </row>
        <row r="672">
          <cell r="A672" t="str">
            <v>7X21003AAI1</v>
          </cell>
          <cell r="B672">
            <v>0.35</v>
          </cell>
          <cell r="C672" t="str">
            <v>7X21003AAL1</v>
          </cell>
          <cell r="D672">
            <v>94600</v>
          </cell>
          <cell r="E672" t="str">
            <v>23/09/2013</v>
          </cell>
        </row>
        <row r="673">
          <cell r="A673" t="str">
            <v>7X21003AAM1</v>
          </cell>
          <cell r="B673">
            <v>1.43</v>
          </cell>
          <cell r="C673" t="str">
            <v>7X21003AAG1</v>
          </cell>
          <cell r="D673">
            <v>94600</v>
          </cell>
          <cell r="E673" t="str">
            <v>23/09/2013</v>
          </cell>
        </row>
        <row r="674">
          <cell r="A674" t="str">
            <v>7X21003ABG1</v>
          </cell>
          <cell r="B674">
            <v>0</v>
          </cell>
          <cell r="C674" t="str">
            <v>7X21003ABI1</v>
          </cell>
          <cell r="D674">
            <v>94600</v>
          </cell>
          <cell r="E674" t="str">
            <v>23/09/2013</v>
          </cell>
        </row>
        <row r="675">
          <cell r="A675" t="str">
            <v>7X21003ABI1</v>
          </cell>
          <cell r="B675">
            <v>0</v>
          </cell>
          <cell r="C675" t="str">
            <v>7X21003ABL1</v>
          </cell>
          <cell r="D675">
            <v>94600</v>
          </cell>
          <cell r="E675" t="str">
            <v>23/09/2013</v>
          </cell>
        </row>
        <row r="676">
          <cell r="A676" t="str">
            <v>7X21003ABM1</v>
          </cell>
          <cell r="B676">
            <v>0</v>
          </cell>
          <cell r="C676" t="str">
            <v>7X21003ABG1</v>
          </cell>
          <cell r="D676">
            <v>94600</v>
          </cell>
          <cell r="E676" t="str">
            <v>23/09/2013</v>
          </cell>
        </row>
        <row r="677">
          <cell r="A677" t="str">
            <v>7X21003CAG1</v>
          </cell>
          <cell r="B677">
            <v>0.25</v>
          </cell>
          <cell r="C677" t="str">
            <v>7X21003CAI1</v>
          </cell>
          <cell r="D677">
            <v>94600</v>
          </cell>
          <cell r="E677" t="str">
            <v>23/09/2013</v>
          </cell>
        </row>
        <row r="678">
          <cell r="A678" t="str">
            <v>7X21003CAI1</v>
          </cell>
          <cell r="B678">
            <v>0.35</v>
          </cell>
          <cell r="C678" t="str">
            <v>7X21003CAL1</v>
          </cell>
          <cell r="D678">
            <v>94600</v>
          </cell>
          <cell r="E678" t="str">
            <v>23/09/2013</v>
          </cell>
        </row>
        <row r="679">
          <cell r="A679" t="str">
            <v>7X21003CAM1</v>
          </cell>
          <cell r="B679">
            <v>1.43</v>
          </cell>
          <cell r="C679" t="str">
            <v>7X21003CAG1</v>
          </cell>
          <cell r="D679">
            <v>94600</v>
          </cell>
          <cell r="E679" t="str">
            <v>23/09/2013</v>
          </cell>
        </row>
        <row r="680">
          <cell r="A680" t="str">
            <v>7X21005AAG1</v>
          </cell>
          <cell r="B680">
            <v>0.25</v>
          </cell>
          <cell r="C680" t="str">
            <v>7X21005AAI1</v>
          </cell>
          <cell r="D680">
            <v>94600</v>
          </cell>
          <cell r="E680" t="str">
            <v>23/09/2013</v>
          </cell>
        </row>
        <row r="681">
          <cell r="A681" t="str">
            <v>7X21005AAI1</v>
          </cell>
          <cell r="B681">
            <v>0.35</v>
          </cell>
          <cell r="C681" t="str">
            <v>7X21002AAL1</v>
          </cell>
          <cell r="D681">
            <v>94600</v>
          </cell>
          <cell r="E681" t="str">
            <v>23/09/2013</v>
          </cell>
        </row>
        <row r="682">
          <cell r="A682" t="str">
            <v>7X21005AAM1</v>
          </cell>
          <cell r="B682">
            <v>1.43</v>
          </cell>
          <cell r="C682" t="str">
            <v>7X21005AAG1</v>
          </cell>
          <cell r="D682">
            <v>94600</v>
          </cell>
          <cell r="E682" t="str">
            <v>23/09/2013</v>
          </cell>
        </row>
        <row r="683">
          <cell r="A683" t="str">
            <v>7X22002AAG1</v>
          </cell>
          <cell r="B683">
            <v>0.25</v>
          </cell>
          <cell r="C683" t="str">
            <v>7X22002AAI1</v>
          </cell>
          <cell r="D683">
            <v>94600</v>
          </cell>
          <cell r="E683" t="str">
            <v>23/09/2013</v>
          </cell>
        </row>
        <row r="684">
          <cell r="A684" t="str">
            <v>7X22002AAI1</v>
          </cell>
          <cell r="B684">
            <v>0.35</v>
          </cell>
          <cell r="C684" t="str">
            <v>7X22002AAL1</v>
          </cell>
          <cell r="D684">
            <v>94600</v>
          </cell>
          <cell r="E684" t="str">
            <v>23/09/2013</v>
          </cell>
        </row>
        <row r="685">
          <cell r="A685" t="str">
            <v>7X22002EBM1</v>
          </cell>
          <cell r="B685">
            <v>3.1</v>
          </cell>
          <cell r="C685" t="str">
            <v>7X22002AAG1</v>
          </cell>
          <cell r="D685">
            <v>94600</v>
          </cell>
          <cell r="E685" t="str">
            <v>23/09/2013</v>
          </cell>
        </row>
        <row r="686">
          <cell r="A686" t="str">
            <v>7X22002JAM1</v>
          </cell>
          <cell r="B686">
            <v>1.43</v>
          </cell>
          <cell r="C686" t="str">
            <v>7X22002AAG1</v>
          </cell>
          <cell r="D686">
            <v>94600</v>
          </cell>
          <cell r="E686" t="str">
            <v>23/09/2013</v>
          </cell>
        </row>
        <row r="687">
          <cell r="A687" t="str">
            <v>7X22002KAM1</v>
          </cell>
          <cell r="B687">
            <v>2.1</v>
          </cell>
          <cell r="C687" t="str">
            <v>7X22002AAG1</v>
          </cell>
          <cell r="D687">
            <v>94600</v>
          </cell>
          <cell r="E687" t="str">
            <v>23/09/2013</v>
          </cell>
        </row>
        <row r="688">
          <cell r="A688" t="str">
            <v>7X22002KBG1</v>
          </cell>
          <cell r="B688">
            <v>2</v>
          </cell>
          <cell r="C688" t="str">
            <v>70841502AI1</v>
          </cell>
          <cell r="D688">
            <v>94600</v>
          </cell>
          <cell r="E688" t="str">
            <v>23/09/2013</v>
          </cell>
        </row>
        <row r="689">
          <cell r="A689" t="str">
            <v>7X22002KBM1</v>
          </cell>
          <cell r="B689">
            <v>2</v>
          </cell>
          <cell r="C689" t="str">
            <v>7X22002KBG1</v>
          </cell>
          <cell r="D689">
            <v>94600</v>
          </cell>
          <cell r="E689" t="str">
            <v>23/09/2013</v>
          </cell>
        </row>
        <row r="690">
          <cell r="A690" t="str">
            <v>7X23101AAG1</v>
          </cell>
          <cell r="B690">
            <v>0.18</v>
          </cell>
          <cell r="C690" t="str">
            <v>7X23101AAI1</v>
          </cell>
          <cell r="D690">
            <v>94600</v>
          </cell>
          <cell r="E690" t="str">
            <v>23/09/2013</v>
          </cell>
        </row>
        <row r="691">
          <cell r="A691" t="str">
            <v>7X23101AAI1</v>
          </cell>
          <cell r="B691">
            <v>0.45</v>
          </cell>
          <cell r="C691" t="str">
            <v>7X23101AAL1</v>
          </cell>
          <cell r="D691">
            <v>94600</v>
          </cell>
          <cell r="E691" t="str">
            <v>23/09/2013</v>
          </cell>
        </row>
        <row r="692">
          <cell r="A692" t="str">
            <v>7X23101AAM1</v>
          </cell>
          <cell r="B692">
            <v>1.54</v>
          </cell>
          <cell r="C692" t="str">
            <v>7X23101AAG1</v>
          </cell>
          <cell r="D692">
            <v>94600</v>
          </cell>
          <cell r="E692" t="str">
            <v>23/09/2013</v>
          </cell>
        </row>
        <row r="693">
          <cell r="A693" t="str">
            <v>7X23101EAM1</v>
          </cell>
          <cell r="B693">
            <v>1.54</v>
          </cell>
          <cell r="C693" t="str">
            <v>7X23101AAG1</v>
          </cell>
          <cell r="D693">
            <v>94600</v>
          </cell>
          <cell r="E693" t="str">
            <v>23/09/2013</v>
          </cell>
        </row>
        <row r="694">
          <cell r="A694" t="str">
            <v>7X23206ABG1</v>
          </cell>
          <cell r="B694">
            <v>0.18</v>
          </cell>
          <cell r="C694" t="str">
            <v>7X23206ABI1</v>
          </cell>
          <cell r="D694">
            <v>94600</v>
          </cell>
          <cell r="E694" t="str">
            <v>23/09/2013</v>
          </cell>
        </row>
        <row r="695">
          <cell r="A695" t="str">
            <v>7X23206ABI1</v>
          </cell>
          <cell r="B695">
            <v>0.45</v>
          </cell>
          <cell r="C695" t="str">
            <v>7X23208AAL1</v>
          </cell>
          <cell r="D695">
            <v>94600</v>
          </cell>
          <cell r="E695" t="str">
            <v>23/09/2013</v>
          </cell>
        </row>
        <row r="696">
          <cell r="A696" t="str">
            <v>7X23206ABM1</v>
          </cell>
          <cell r="B696">
            <v>1.54</v>
          </cell>
          <cell r="C696" t="str">
            <v>7X23206ABG1</v>
          </cell>
          <cell r="D696">
            <v>94600</v>
          </cell>
          <cell r="E696" t="str">
            <v>23/09/2013</v>
          </cell>
        </row>
        <row r="697">
          <cell r="A697" t="str">
            <v>7X23206GAM1</v>
          </cell>
          <cell r="B697">
            <v>1.54</v>
          </cell>
          <cell r="C697" t="str">
            <v>7X23206ABG1</v>
          </cell>
          <cell r="D697">
            <v>94600</v>
          </cell>
          <cell r="E697" t="str">
            <v>23/09/2013</v>
          </cell>
        </row>
        <row r="698">
          <cell r="A698" t="str">
            <v>7X23206HAG1</v>
          </cell>
          <cell r="B698">
            <v>0.25</v>
          </cell>
          <cell r="C698" t="str">
            <v>7X23206HAI1</v>
          </cell>
          <cell r="D698">
            <v>94600</v>
          </cell>
          <cell r="E698" t="str">
            <v>23/09/2013</v>
          </cell>
        </row>
        <row r="699">
          <cell r="A699" t="str">
            <v>7X23206HAI1</v>
          </cell>
          <cell r="B699">
            <v>0.35</v>
          </cell>
          <cell r="C699" t="str">
            <v>7X23206HAL1</v>
          </cell>
          <cell r="D699">
            <v>94600</v>
          </cell>
          <cell r="E699" t="str">
            <v>23/09/2013</v>
          </cell>
        </row>
        <row r="700">
          <cell r="A700" t="str">
            <v>7X23206HAM1</v>
          </cell>
          <cell r="B700">
            <v>1.43</v>
          </cell>
          <cell r="C700" t="str">
            <v>7X23206HAG1</v>
          </cell>
          <cell r="D700">
            <v>94600</v>
          </cell>
          <cell r="E700" t="str">
            <v>23/09/2013</v>
          </cell>
        </row>
        <row r="701">
          <cell r="A701" t="str">
            <v>7X23206IAM1</v>
          </cell>
          <cell r="B701">
            <v>1.43</v>
          </cell>
          <cell r="C701" t="str">
            <v>7X23206HAG1</v>
          </cell>
          <cell r="D701">
            <v>94600</v>
          </cell>
          <cell r="E701" t="str">
            <v>23/09/2013</v>
          </cell>
        </row>
        <row r="702">
          <cell r="A702" t="str">
            <v>7X23207ABM1</v>
          </cell>
          <cell r="B702">
            <v>2.4</v>
          </cell>
          <cell r="C702" t="str">
            <v>7X23207DAG1</v>
          </cell>
          <cell r="D702">
            <v>94600</v>
          </cell>
          <cell r="E702" t="str">
            <v>23/09/2013</v>
          </cell>
        </row>
        <row r="703">
          <cell r="A703" t="str">
            <v>7X23207DAG1</v>
          </cell>
          <cell r="B703">
            <v>0.25</v>
          </cell>
          <cell r="C703" t="str">
            <v>7X23207DAI1</v>
          </cell>
          <cell r="D703">
            <v>94600</v>
          </cell>
          <cell r="E703" t="str">
            <v>23/09/2013</v>
          </cell>
        </row>
        <row r="704">
          <cell r="A704" t="str">
            <v>7X23207DAI1</v>
          </cell>
          <cell r="B704">
            <v>0.35</v>
          </cell>
          <cell r="C704" t="str">
            <v>7X23207DAL1</v>
          </cell>
          <cell r="D704">
            <v>94600</v>
          </cell>
          <cell r="E704" t="str">
            <v>23/09/2013</v>
          </cell>
        </row>
        <row r="705">
          <cell r="A705" t="str">
            <v>7X23207EAM1</v>
          </cell>
          <cell r="B705">
            <v>2.2999999999999998</v>
          </cell>
          <cell r="C705" t="str">
            <v>7X23207DAG1</v>
          </cell>
          <cell r="D705">
            <v>94600</v>
          </cell>
          <cell r="E705" t="str">
            <v>23/09/2013</v>
          </cell>
        </row>
        <row r="706">
          <cell r="A706" t="str">
            <v>7X23207HAM1</v>
          </cell>
          <cell r="B706">
            <v>1.43</v>
          </cell>
          <cell r="C706" t="str">
            <v>7X23207DAG1</v>
          </cell>
          <cell r="D706">
            <v>94600</v>
          </cell>
          <cell r="E706" t="str">
            <v>23/09/2013</v>
          </cell>
        </row>
        <row r="707">
          <cell r="A707" t="str">
            <v>7X23207KAM1</v>
          </cell>
          <cell r="B707">
            <v>2.2999999999999998</v>
          </cell>
          <cell r="C707" t="str">
            <v>7X23207DAG1</v>
          </cell>
          <cell r="D707">
            <v>94600</v>
          </cell>
          <cell r="E707" t="str">
            <v>23/09/2013</v>
          </cell>
        </row>
        <row r="708">
          <cell r="A708" t="str">
            <v>7X23208DBG1</v>
          </cell>
          <cell r="B708">
            <v>0.18</v>
          </cell>
          <cell r="C708" t="str">
            <v>7X23208DBI1</v>
          </cell>
          <cell r="D708">
            <v>94600</v>
          </cell>
          <cell r="E708" t="str">
            <v>23/09/2013</v>
          </cell>
        </row>
        <row r="709">
          <cell r="A709" t="str">
            <v>7X23208DBI1</v>
          </cell>
          <cell r="B709">
            <v>0.45</v>
          </cell>
          <cell r="C709" t="str">
            <v>7X23206DAL1</v>
          </cell>
          <cell r="D709">
            <v>94600</v>
          </cell>
          <cell r="E709" t="str">
            <v>23/09/2013</v>
          </cell>
        </row>
        <row r="710">
          <cell r="A710" t="str">
            <v>7X23208DBM1</v>
          </cell>
          <cell r="B710">
            <v>1.54</v>
          </cell>
          <cell r="C710" t="str">
            <v>7X23208DBG1</v>
          </cell>
          <cell r="D710">
            <v>94600</v>
          </cell>
          <cell r="E710" t="str">
            <v>23/09/2013</v>
          </cell>
        </row>
        <row r="711">
          <cell r="A711" t="str">
            <v>7X23208EAG1</v>
          </cell>
          <cell r="B711">
            <v>0.25</v>
          </cell>
          <cell r="C711" t="str">
            <v>7X23208EAI1</v>
          </cell>
          <cell r="D711">
            <v>94600</v>
          </cell>
          <cell r="E711" t="str">
            <v>23/09/2013</v>
          </cell>
        </row>
        <row r="712">
          <cell r="A712" t="str">
            <v>7X23208EAI1</v>
          </cell>
          <cell r="B712">
            <v>0.35</v>
          </cell>
          <cell r="C712" t="str">
            <v>7X23206HAL1</v>
          </cell>
          <cell r="D712">
            <v>94600</v>
          </cell>
          <cell r="E712" t="str">
            <v>23/09/2013</v>
          </cell>
        </row>
        <row r="713">
          <cell r="A713" t="str">
            <v>7X23208EAM1</v>
          </cell>
          <cell r="B713">
            <v>1.43</v>
          </cell>
          <cell r="C713" t="str">
            <v>7X23208EAG1</v>
          </cell>
          <cell r="D713">
            <v>94600</v>
          </cell>
          <cell r="E713" t="str">
            <v>23/09/2013</v>
          </cell>
        </row>
        <row r="714">
          <cell r="A714" t="str">
            <v>7X23209AAG1</v>
          </cell>
          <cell r="B714">
            <v>0.25</v>
          </cell>
          <cell r="C714" t="str">
            <v>7X23209AAI1</v>
          </cell>
          <cell r="D714">
            <v>94600</v>
          </cell>
          <cell r="E714" t="str">
            <v>23/09/2013</v>
          </cell>
        </row>
        <row r="715">
          <cell r="A715" t="str">
            <v>7X23209AAI1</v>
          </cell>
          <cell r="B715">
            <v>0.35</v>
          </cell>
          <cell r="C715" t="str">
            <v>7X23207DAL1</v>
          </cell>
          <cell r="D715">
            <v>94600</v>
          </cell>
          <cell r="E715" t="str">
            <v>23/09/2013</v>
          </cell>
        </row>
        <row r="716">
          <cell r="A716" t="str">
            <v>7X23209AAM1</v>
          </cell>
          <cell r="B716">
            <v>1.54</v>
          </cell>
          <cell r="C716" t="str">
            <v>7X23209AAG1</v>
          </cell>
          <cell r="D716">
            <v>94600</v>
          </cell>
          <cell r="E716" t="str">
            <v>23/09/2013</v>
          </cell>
        </row>
        <row r="717">
          <cell r="A717" t="str">
            <v>7X23209KAM1</v>
          </cell>
          <cell r="B717">
            <v>1.43</v>
          </cell>
          <cell r="C717" t="str">
            <v>7X23209AAG1</v>
          </cell>
          <cell r="D717">
            <v>94600</v>
          </cell>
          <cell r="E717" t="str">
            <v>23/09/2013</v>
          </cell>
        </row>
        <row r="718">
          <cell r="A718" t="str">
            <v>7X23209LAM1</v>
          </cell>
          <cell r="B718">
            <v>2.5</v>
          </cell>
          <cell r="C718" t="str">
            <v>7X23209AAG1</v>
          </cell>
          <cell r="D718">
            <v>94600</v>
          </cell>
          <cell r="E718" t="str">
            <v>23/09/2013</v>
          </cell>
        </row>
        <row r="719">
          <cell r="A719" t="str">
            <v>7X23209NAM1</v>
          </cell>
          <cell r="B719">
            <v>2.5</v>
          </cell>
          <cell r="C719" t="str">
            <v>7X23209AAG1</v>
          </cell>
          <cell r="D719">
            <v>94600</v>
          </cell>
          <cell r="E719" t="str">
            <v>23/09/2013</v>
          </cell>
        </row>
        <row r="720">
          <cell r="A720" t="str">
            <v>7X23212AAG1</v>
          </cell>
          <cell r="B720">
            <v>0.25</v>
          </cell>
          <cell r="C720" t="str">
            <v>7X23212AAI1</v>
          </cell>
          <cell r="D720">
            <v>94600</v>
          </cell>
          <cell r="E720" t="str">
            <v>23/09/2013</v>
          </cell>
        </row>
        <row r="721">
          <cell r="A721" t="str">
            <v>7X23212AAI1</v>
          </cell>
          <cell r="B721">
            <v>0.35</v>
          </cell>
          <cell r="C721" t="str">
            <v>7X23207DAL1</v>
          </cell>
          <cell r="D721">
            <v>94600</v>
          </cell>
          <cell r="E721" t="str">
            <v>23/09/2013</v>
          </cell>
        </row>
        <row r="722">
          <cell r="A722" t="str">
            <v>7X23212DAM1</v>
          </cell>
          <cell r="B722">
            <v>1.43</v>
          </cell>
          <cell r="C722" t="str">
            <v>7X23212AAG1</v>
          </cell>
          <cell r="D722">
            <v>94600</v>
          </cell>
          <cell r="E722" t="str">
            <v>23/09/2013</v>
          </cell>
        </row>
        <row r="723">
          <cell r="A723" t="str">
            <v>7X23213AAG1</v>
          </cell>
          <cell r="B723">
            <v>0.8</v>
          </cell>
          <cell r="C723" t="str">
            <v>7X23213AAI1</v>
          </cell>
          <cell r="D723">
            <v>94600</v>
          </cell>
          <cell r="E723" t="str">
            <v>23/09/2013</v>
          </cell>
        </row>
        <row r="724">
          <cell r="A724" t="str">
            <v>7X23213AAI1</v>
          </cell>
          <cell r="B724">
            <v>0</v>
          </cell>
          <cell r="C724" t="str">
            <v>7X23208AAL1</v>
          </cell>
          <cell r="D724">
            <v>94600</v>
          </cell>
          <cell r="E724" t="str">
            <v>23/09/2013</v>
          </cell>
        </row>
        <row r="725">
          <cell r="A725" t="str">
            <v>7X23213AAM1</v>
          </cell>
          <cell r="B725">
            <v>2.4</v>
          </cell>
          <cell r="C725" t="str">
            <v>7X23213AAG1</v>
          </cell>
          <cell r="D725">
            <v>94600</v>
          </cell>
          <cell r="E725" t="str">
            <v>23/09/2013</v>
          </cell>
        </row>
        <row r="726">
          <cell r="A726" t="str">
            <v>7X23402AAG1</v>
          </cell>
          <cell r="B726">
            <v>0.18</v>
          </cell>
          <cell r="C726" t="str">
            <v>7X23402AAI1</v>
          </cell>
          <cell r="D726">
            <v>94600</v>
          </cell>
          <cell r="E726" t="str">
            <v>23/09/2013</v>
          </cell>
        </row>
        <row r="727">
          <cell r="A727" t="str">
            <v>7X23402AAI1</v>
          </cell>
          <cell r="B727">
            <v>0.45</v>
          </cell>
          <cell r="C727" t="str">
            <v>7X23402AAL1</v>
          </cell>
          <cell r="D727">
            <v>94600</v>
          </cell>
          <cell r="E727" t="str">
            <v>23/09/2013</v>
          </cell>
        </row>
        <row r="728">
          <cell r="A728" t="str">
            <v>7X23402AAM1</v>
          </cell>
          <cell r="B728">
            <v>1.54</v>
          </cell>
          <cell r="C728" t="str">
            <v>7X23402AAG1</v>
          </cell>
          <cell r="D728">
            <v>94600</v>
          </cell>
          <cell r="E728" t="str">
            <v>23/09/2013</v>
          </cell>
        </row>
        <row r="729">
          <cell r="A729" t="str">
            <v>7X24101AAG1</v>
          </cell>
          <cell r="B729">
            <v>0.18</v>
          </cell>
          <cell r="C729" t="str">
            <v>7X24101AAI1</v>
          </cell>
          <cell r="D729">
            <v>94600</v>
          </cell>
          <cell r="E729" t="str">
            <v>23/09/2013</v>
          </cell>
        </row>
        <row r="730">
          <cell r="A730" t="str">
            <v>7X24101AAI1</v>
          </cell>
          <cell r="B730">
            <v>0.45</v>
          </cell>
          <cell r="C730" t="str">
            <v>7X24101AAL1</v>
          </cell>
          <cell r="D730">
            <v>94600</v>
          </cell>
          <cell r="E730" t="str">
            <v>23/09/2013</v>
          </cell>
        </row>
        <row r="731">
          <cell r="A731" t="str">
            <v>7X24101AAM1</v>
          </cell>
          <cell r="B731">
            <v>1.54</v>
          </cell>
          <cell r="C731" t="str">
            <v>7X24101AAG1</v>
          </cell>
          <cell r="D731">
            <v>94600</v>
          </cell>
          <cell r="E731" t="str">
            <v>23/09/2013</v>
          </cell>
        </row>
        <row r="732">
          <cell r="A732" t="str">
            <v>7X24101BAM1</v>
          </cell>
          <cell r="B732">
            <v>1.54</v>
          </cell>
          <cell r="C732" t="str">
            <v>7X24101AAG1</v>
          </cell>
          <cell r="D732">
            <v>94600</v>
          </cell>
          <cell r="E732" t="str">
            <v>23/09/2013</v>
          </cell>
        </row>
        <row r="733">
          <cell r="A733" t="str">
            <v>7X24102AAG1</v>
          </cell>
          <cell r="B733">
            <v>0.18</v>
          </cell>
          <cell r="C733" t="str">
            <v>7X24102AAI1</v>
          </cell>
          <cell r="D733">
            <v>94600</v>
          </cell>
          <cell r="E733" t="str">
            <v>23/09/2013</v>
          </cell>
        </row>
        <row r="734">
          <cell r="A734" t="str">
            <v>7X24102AAI1</v>
          </cell>
          <cell r="B734">
            <v>0.45</v>
          </cell>
          <cell r="C734" t="str">
            <v>7X24101AAL1</v>
          </cell>
          <cell r="D734">
            <v>94600</v>
          </cell>
          <cell r="E734" t="str">
            <v>23/09/2013</v>
          </cell>
        </row>
        <row r="735">
          <cell r="A735" t="str">
            <v>7X24102AAM1</v>
          </cell>
          <cell r="B735">
            <v>1.54</v>
          </cell>
          <cell r="C735" t="str">
            <v>7X24102AAG1</v>
          </cell>
          <cell r="D735">
            <v>94600</v>
          </cell>
          <cell r="E735" t="str">
            <v>23/09/2013</v>
          </cell>
        </row>
        <row r="736">
          <cell r="A736" t="str">
            <v>7X25201AAG1</v>
          </cell>
          <cell r="B736">
            <v>0.25</v>
          </cell>
          <cell r="C736" t="str">
            <v>7X25201AAI1</v>
          </cell>
          <cell r="D736">
            <v>94600</v>
          </cell>
          <cell r="E736" t="str">
            <v>23/09/2013</v>
          </cell>
        </row>
        <row r="737">
          <cell r="A737" t="str">
            <v>7X25201AAI1</v>
          </cell>
          <cell r="B737">
            <v>0.35</v>
          </cell>
          <cell r="C737" t="str">
            <v>7X25201AAL1</v>
          </cell>
          <cell r="D737">
            <v>94600</v>
          </cell>
          <cell r="E737" t="str">
            <v>23/09/2013</v>
          </cell>
        </row>
        <row r="738">
          <cell r="A738" t="str">
            <v>7X25201AAM1</v>
          </cell>
          <cell r="B738">
            <v>1.43</v>
          </cell>
          <cell r="C738" t="str">
            <v>7X25201AAG1</v>
          </cell>
          <cell r="D738">
            <v>94600</v>
          </cell>
          <cell r="E738" t="str">
            <v>23/09/2013</v>
          </cell>
        </row>
        <row r="739">
          <cell r="A739" t="str">
            <v>7X31002AAG1</v>
          </cell>
          <cell r="B739">
            <v>0.4</v>
          </cell>
          <cell r="C739" t="str">
            <v>7X31002AAI1</v>
          </cell>
          <cell r="D739">
            <v>94600</v>
          </cell>
          <cell r="E739" t="str">
            <v>23/09/2013</v>
          </cell>
        </row>
        <row r="740">
          <cell r="A740" t="str">
            <v>7X31002AAI1</v>
          </cell>
          <cell r="B740">
            <v>0.97</v>
          </cell>
          <cell r="C740" t="str">
            <v>7X31002AAL1</v>
          </cell>
          <cell r="D740">
            <v>94600</v>
          </cell>
          <cell r="E740" t="str">
            <v>23/09/2013</v>
          </cell>
        </row>
        <row r="741">
          <cell r="A741" t="str">
            <v>7X31002AAM1</v>
          </cell>
          <cell r="B741">
            <v>2.14</v>
          </cell>
          <cell r="C741" t="str">
            <v>7X31002AAG1</v>
          </cell>
          <cell r="D741">
            <v>94600</v>
          </cell>
          <cell r="E741" t="str">
            <v>23/09/2013</v>
          </cell>
        </row>
        <row r="742">
          <cell r="A742" t="str">
            <v>7X33202AAG1</v>
          </cell>
          <cell r="B742">
            <v>1.7</v>
          </cell>
          <cell r="C742" t="str">
            <v>7X33202AAI1</v>
          </cell>
          <cell r="D742">
            <v>94600</v>
          </cell>
          <cell r="E742" t="str">
            <v>23/09/2013</v>
          </cell>
        </row>
        <row r="743">
          <cell r="A743" t="str">
            <v>7X33202AAI1</v>
          </cell>
          <cell r="B743">
            <v>0</v>
          </cell>
          <cell r="C743" t="str">
            <v>7X33202AAL1</v>
          </cell>
          <cell r="D743">
            <v>94600</v>
          </cell>
          <cell r="E743" t="str">
            <v>23/09/2013</v>
          </cell>
        </row>
        <row r="744">
          <cell r="A744" t="str">
            <v>7X33202BAM1</v>
          </cell>
          <cell r="B744">
            <v>3.3</v>
          </cell>
          <cell r="C744" t="str">
            <v>7X33202AAG1</v>
          </cell>
          <cell r="D744">
            <v>94600</v>
          </cell>
          <cell r="E744" t="str">
            <v>23/09/2013</v>
          </cell>
        </row>
        <row r="745">
          <cell r="A745" t="str">
            <v>7X33204AAG1</v>
          </cell>
          <cell r="B745">
            <v>1.7</v>
          </cell>
          <cell r="C745" t="str">
            <v>7X33204AAI1</v>
          </cell>
          <cell r="D745">
            <v>94600</v>
          </cell>
          <cell r="E745" t="str">
            <v>23/09/2013</v>
          </cell>
        </row>
        <row r="746">
          <cell r="A746" t="str">
            <v>7X33204AAI1</v>
          </cell>
          <cell r="B746">
            <v>0</v>
          </cell>
          <cell r="C746" t="str">
            <v>7X33204AAL1</v>
          </cell>
          <cell r="D746">
            <v>94600</v>
          </cell>
          <cell r="E746" t="str">
            <v>23/09/2013</v>
          </cell>
        </row>
        <row r="747">
          <cell r="A747" t="str">
            <v>7X33204AAM1</v>
          </cell>
          <cell r="B747">
            <v>3.3</v>
          </cell>
          <cell r="C747" t="str">
            <v>7X33204AAG1</v>
          </cell>
          <cell r="D747">
            <v>94600</v>
          </cell>
          <cell r="E747" t="str">
            <v>23/09/2013</v>
          </cell>
        </row>
        <row r="748">
          <cell r="A748" t="str">
            <v>7X33204CAM1</v>
          </cell>
          <cell r="B748">
            <v>3.3</v>
          </cell>
          <cell r="C748" t="str">
            <v>7X33204AAG1</v>
          </cell>
          <cell r="D748">
            <v>94600</v>
          </cell>
          <cell r="E748" t="str">
            <v>23/09/2013</v>
          </cell>
        </row>
        <row r="749">
          <cell r="A749" t="str">
            <v>7X33205AAG1</v>
          </cell>
          <cell r="B749">
            <v>0.4</v>
          </cell>
          <cell r="C749" t="str">
            <v>7X33205AAI1</v>
          </cell>
          <cell r="D749">
            <v>94600</v>
          </cell>
          <cell r="E749" t="str">
            <v>23/09/2013</v>
          </cell>
        </row>
        <row r="750">
          <cell r="A750" t="str">
            <v>7X33205AAI1</v>
          </cell>
          <cell r="B750">
            <v>0.97</v>
          </cell>
          <cell r="C750" t="str">
            <v>7X33205AAL1</v>
          </cell>
          <cell r="D750">
            <v>94600</v>
          </cell>
          <cell r="E750" t="str">
            <v>23/09/2013</v>
          </cell>
        </row>
        <row r="751">
          <cell r="A751" t="str">
            <v>7X33205AAM1</v>
          </cell>
          <cell r="B751">
            <v>2.14</v>
          </cell>
          <cell r="C751" t="str">
            <v>7X33205AAG1</v>
          </cell>
          <cell r="D751">
            <v>94600</v>
          </cell>
          <cell r="E751" t="str">
            <v>23/09/2013</v>
          </cell>
        </row>
        <row r="752">
          <cell r="A752" t="str">
            <v>7X33207AAG1</v>
          </cell>
          <cell r="B752">
            <v>0.4</v>
          </cell>
          <cell r="C752" t="str">
            <v>7X33207AAI1</v>
          </cell>
          <cell r="D752">
            <v>94600</v>
          </cell>
          <cell r="E752" t="str">
            <v>23/09/2013</v>
          </cell>
        </row>
        <row r="753">
          <cell r="A753" t="str">
            <v>7X33207AAI1</v>
          </cell>
          <cell r="B753">
            <v>0.97</v>
          </cell>
          <cell r="C753" t="str">
            <v>7X33207AAL1</v>
          </cell>
          <cell r="D753">
            <v>94600</v>
          </cell>
          <cell r="E753" t="str">
            <v>23/09/2013</v>
          </cell>
        </row>
        <row r="754">
          <cell r="A754" t="str">
            <v>7X33207AAM1</v>
          </cell>
          <cell r="B754">
            <v>1</v>
          </cell>
          <cell r="C754" t="str">
            <v>7X33207AAG1</v>
          </cell>
          <cell r="D754">
            <v>94600</v>
          </cell>
          <cell r="E754" t="str">
            <v>23/09/2013</v>
          </cell>
        </row>
        <row r="755">
          <cell r="A755" t="str">
            <v>7X33207BAM1</v>
          </cell>
          <cell r="B755">
            <v>2.14</v>
          </cell>
          <cell r="C755" t="str">
            <v>7X33207AAG1</v>
          </cell>
          <cell r="D755">
            <v>94600</v>
          </cell>
          <cell r="E755" t="str">
            <v>23/09/2013</v>
          </cell>
        </row>
        <row r="756">
          <cell r="A756" t="str">
            <v>7X33210AAG1</v>
          </cell>
          <cell r="B756">
            <v>0.4</v>
          </cell>
          <cell r="C756" t="str">
            <v>70110802AI1</v>
          </cell>
          <cell r="D756">
            <v>94600</v>
          </cell>
          <cell r="E756" t="str">
            <v>23/09/2013</v>
          </cell>
        </row>
        <row r="757">
          <cell r="A757" t="str">
            <v>7X33210AAI1</v>
          </cell>
          <cell r="B757">
            <v>0</v>
          </cell>
          <cell r="C757" t="str">
            <v>7X33202AAL1</v>
          </cell>
          <cell r="D757">
            <v>94600</v>
          </cell>
          <cell r="E757" t="str">
            <v>23/09/2013</v>
          </cell>
        </row>
        <row r="758">
          <cell r="A758" t="str">
            <v>7X33210AAM1</v>
          </cell>
          <cell r="B758">
            <v>2.14</v>
          </cell>
          <cell r="C758" t="str">
            <v>7X33210AAG1</v>
          </cell>
          <cell r="D758">
            <v>94600</v>
          </cell>
          <cell r="E758" t="str">
            <v>23/09/2013</v>
          </cell>
        </row>
        <row r="759">
          <cell r="A759" t="str">
            <v>7X33211AAG1</v>
          </cell>
          <cell r="B759">
            <v>0.4</v>
          </cell>
          <cell r="C759" t="str">
            <v>7X33211AAI1</v>
          </cell>
          <cell r="D759">
            <v>94600</v>
          </cell>
          <cell r="E759" t="str">
            <v>23/09/2013</v>
          </cell>
        </row>
        <row r="760">
          <cell r="A760" t="str">
            <v>7X33211AAI1</v>
          </cell>
          <cell r="B760">
            <v>0.97</v>
          </cell>
          <cell r="C760" t="str">
            <v>7X33207AAL1</v>
          </cell>
          <cell r="D760">
            <v>94600</v>
          </cell>
          <cell r="E760" t="str">
            <v>23/09/2013</v>
          </cell>
        </row>
        <row r="761">
          <cell r="A761" t="str">
            <v>7X33211AAM1</v>
          </cell>
          <cell r="B761">
            <v>2.14</v>
          </cell>
          <cell r="C761" t="str">
            <v>7X33211AAG1</v>
          </cell>
          <cell r="D761">
            <v>94600</v>
          </cell>
          <cell r="E761" t="str">
            <v>23/09/2013</v>
          </cell>
        </row>
        <row r="762">
          <cell r="A762" t="str">
            <v>7X33212AAG1</v>
          </cell>
          <cell r="B762">
            <v>0.4</v>
          </cell>
          <cell r="C762" t="str">
            <v>7X33212AAI1</v>
          </cell>
          <cell r="D762">
            <v>94600</v>
          </cell>
          <cell r="E762" t="str">
            <v>23/09/2013</v>
          </cell>
        </row>
        <row r="763">
          <cell r="A763" t="str">
            <v>7X33212AAI1</v>
          </cell>
          <cell r="B763">
            <v>0.97</v>
          </cell>
          <cell r="C763" t="str">
            <v>7X33202AAL1</v>
          </cell>
          <cell r="D763">
            <v>94600</v>
          </cell>
          <cell r="E763" t="str">
            <v>23/09/2013</v>
          </cell>
        </row>
        <row r="764">
          <cell r="A764" t="str">
            <v>7X33212AAM1</v>
          </cell>
          <cell r="B764">
            <v>2.14</v>
          </cell>
          <cell r="C764" t="str">
            <v>7X33212AAG1</v>
          </cell>
          <cell r="D764">
            <v>94600</v>
          </cell>
          <cell r="E764" t="str">
            <v>23/09/2013</v>
          </cell>
        </row>
        <row r="765">
          <cell r="A765" t="str">
            <v>7X33214AAG1</v>
          </cell>
          <cell r="B765">
            <v>0.4</v>
          </cell>
          <cell r="C765" t="str">
            <v>7X33214AAI1</v>
          </cell>
          <cell r="D765">
            <v>94600</v>
          </cell>
          <cell r="E765" t="str">
            <v>23/09/2013</v>
          </cell>
        </row>
        <row r="766">
          <cell r="A766" t="str">
            <v>7X33214AAI1</v>
          </cell>
          <cell r="B766">
            <v>0.97</v>
          </cell>
          <cell r="C766" t="str">
            <v>7X33207AAL1</v>
          </cell>
          <cell r="D766">
            <v>94600</v>
          </cell>
          <cell r="E766" t="str">
            <v>23/09/2013</v>
          </cell>
        </row>
        <row r="767">
          <cell r="A767" t="str">
            <v>7X33214AAM1</v>
          </cell>
          <cell r="B767">
            <v>2.14</v>
          </cell>
          <cell r="C767" t="str">
            <v>7X33214AAG1</v>
          </cell>
          <cell r="D767">
            <v>94600</v>
          </cell>
          <cell r="E767" t="str">
            <v>23/09/2013</v>
          </cell>
        </row>
        <row r="768">
          <cell r="A768" t="str">
            <v>7X33215AAG1</v>
          </cell>
          <cell r="B768">
            <v>0.4</v>
          </cell>
          <cell r="C768" t="str">
            <v>7X33215AAI1</v>
          </cell>
          <cell r="D768">
            <v>94600</v>
          </cell>
          <cell r="E768" t="str">
            <v>23/09/2013</v>
          </cell>
        </row>
        <row r="769">
          <cell r="A769" t="str">
            <v>7X33215AAI1</v>
          </cell>
          <cell r="B769">
            <v>0.97</v>
          </cell>
          <cell r="C769" t="str">
            <v>7X33207AAL1</v>
          </cell>
          <cell r="D769">
            <v>94600</v>
          </cell>
          <cell r="E769" t="str">
            <v>23/09/2013</v>
          </cell>
        </row>
        <row r="770">
          <cell r="A770" t="str">
            <v>7X33215AAM1</v>
          </cell>
          <cell r="B770">
            <v>2.14</v>
          </cell>
          <cell r="C770" t="str">
            <v>7X33215AAG1</v>
          </cell>
          <cell r="D770">
            <v>94600</v>
          </cell>
          <cell r="E770" t="str">
            <v>23/09/2013</v>
          </cell>
        </row>
        <row r="771">
          <cell r="A771" t="str">
            <v>7X33216AAG1</v>
          </cell>
          <cell r="B771">
            <v>0.4</v>
          </cell>
          <cell r="C771" t="str">
            <v>7X33216AAI1</v>
          </cell>
          <cell r="D771">
            <v>94600</v>
          </cell>
          <cell r="E771" t="str">
            <v>23/09/2013</v>
          </cell>
        </row>
        <row r="772">
          <cell r="A772" t="str">
            <v>7X33216AAI1</v>
          </cell>
          <cell r="B772">
            <v>0.97</v>
          </cell>
          <cell r="C772" t="str">
            <v>7X33207AAL1</v>
          </cell>
          <cell r="D772">
            <v>94600</v>
          </cell>
          <cell r="E772" t="str">
            <v>23/09/2013</v>
          </cell>
        </row>
        <row r="773">
          <cell r="A773" t="str">
            <v>7X33216AAM1</v>
          </cell>
          <cell r="B773">
            <v>2.14</v>
          </cell>
          <cell r="C773" t="str">
            <v>7X33216AAG1</v>
          </cell>
          <cell r="D773">
            <v>94600</v>
          </cell>
          <cell r="E773" t="str">
            <v>23/09/2013</v>
          </cell>
        </row>
        <row r="774">
          <cell r="A774" t="str">
            <v>80100202AF1</v>
          </cell>
          <cell r="B774">
            <v>0.22</v>
          </cell>
          <cell r="C774" t="str">
            <v>70100202AM1</v>
          </cell>
          <cell r="D774">
            <v>94600</v>
          </cell>
          <cell r="E774" t="str">
            <v>23/09/2013</v>
          </cell>
        </row>
        <row r="775">
          <cell r="A775" t="str">
            <v>80100301AF1</v>
          </cell>
          <cell r="B775">
            <v>0.64</v>
          </cell>
          <cell r="C775" t="str">
            <v>70100301AM1</v>
          </cell>
          <cell r="D775">
            <v>94600</v>
          </cell>
          <cell r="E775" t="str">
            <v>23/09/2013</v>
          </cell>
        </row>
        <row r="776">
          <cell r="A776" t="str">
            <v>80100301BF1</v>
          </cell>
          <cell r="B776">
            <v>0.64</v>
          </cell>
          <cell r="C776" t="str">
            <v>70100301BM1</v>
          </cell>
          <cell r="D776">
            <v>94600</v>
          </cell>
          <cell r="E776" t="str">
            <v>23/09/2013</v>
          </cell>
        </row>
        <row r="777">
          <cell r="A777" t="str">
            <v>80100401AF1</v>
          </cell>
          <cell r="B777">
            <v>0.64</v>
          </cell>
          <cell r="C777" t="str">
            <v>70100401AM1</v>
          </cell>
          <cell r="D777">
            <v>94600</v>
          </cell>
          <cell r="E777" t="str">
            <v>23/09/2013</v>
          </cell>
        </row>
        <row r="778">
          <cell r="A778" t="str">
            <v>80100401BF1</v>
          </cell>
          <cell r="B778">
            <v>0.64</v>
          </cell>
          <cell r="C778" t="str">
            <v>70100401BM1</v>
          </cell>
          <cell r="D778">
            <v>94600</v>
          </cell>
          <cell r="E778" t="str">
            <v>23/09/2013</v>
          </cell>
        </row>
        <row r="779">
          <cell r="A779" t="str">
            <v>80100401CF1</v>
          </cell>
          <cell r="B779">
            <v>0.64</v>
          </cell>
          <cell r="C779" t="str">
            <v>70100401CM1</v>
          </cell>
          <cell r="D779">
            <v>94600</v>
          </cell>
          <cell r="E779" t="str">
            <v>23/09/2013</v>
          </cell>
        </row>
        <row r="780">
          <cell r="A780" t="str">
            <v>80100401DF1</v>
          </cell>
          <cell r="B780">
            <v>0.9</v>
          </cell>
          <cell r="C780" t="str">
            <v>70100401DM1</v>
          </cell>
          <cell r="D780">
            <v>94600</v>
          </cell>
          <cell r="E780" t="str">
            <v>23/09/2013</v>
          </cell>
        </row>
        <row r="781">
          <cell r="A781" t="str">
            <v>80100401EF1</v>
          </cell>
          <cell r="B781">
            <v>0.22</v>
          </cell>
          <cell r="C781" t="str">
            <v>70100401EM1</v>
          </cell>
          <cell r="D781">
            <v>94600</v>
          </cell>
          <cell r="E781" t="str">
            <v>23/09/2013</v>
          </cell>
        </row>
        <row r="782">
          <cell r="A782" t="str">
            <v>80100401FF1</v>
          </cell>
          <cell r="B782">
            <v>1.1000000000000001</v>
          </cell>
          <cell r="C782" t="str">
            <v>70100401FM1</v>
          </cell>
          <cell r="D782">
            <v>94600</v>
          </cell>
          <cell r="E782" t="str">
            <v>23/09/2013</v>
          </cell>
        </row>
        <row r="783">
          <cell r="A783" t="str">
            <v>80100601AF1</v>
          </cell>
          <cell r="B783">
            <v>0.9</v>
          </cell>
          <cell r="C783" t="str">
            <v>70100601AM1</v>
          </cell>
          <cell r="D783">
            <v>94600</v>
          </cell>
          <cell r="E783" t="str">
            <v>23/09/2013</v>
          </cell>
        </row>
        <row r="784">
          <cell r="A784" t="str">
            <v>80100601BF1</v>
          </cell>
          <cell r="B784">
            <v>0.9</v>
          </cell>
          <cell r="C784" t="str">
            <v>70100601BM1</v>
          </cell>
          <cell r="D784">
            <v>94600</v>
          </cell>
          <cell r="E784" t="str">
            <v>23/09/2013</v>
          </cell>
        </row>
        <row r="785">
          <cell r="A785" t="str">
            <v>80100601CF1</v>
          </cell>
          <cell r="B785">
            <v>0.22</v>
          </cell>
          <cell r="C785" t="str">
            <v>70100601CM1</v>
          </cell>
          <cell r="D785">
            <v>94600</v>
          </cell>
          <cell r="E785" t="str">
            <v>23/09/2013</v>
          </cell>
        </row>
        <row r="786">
          <cell r="A786" t="str">
            <v>80101401AF1</v>
          </cell>
          <cell r="B786">
            <v>0.64</v>
          </cell>
          <cell r="C786" t="str">
            <v>70101401AM1</v>
          </cell>
          <cell r="D786">
            <v>94600</v>
          </cell>
          <cell r="E786" t="str">
            <v>23/09/2013</v>
          </cell>
        </row>
        <row r="787">
          <cell r="A787" t="str">
            <v>80110401AF1</v>
          </cell>
          <cell r="B787">
            <v>0.64</v>
          </cell>
          <cell r="C787" t="str">
            <v>70110401AM1</v>
          </cell>
          <cell r="D787">
            <v>94600</v>
          </cell>
          <cell r="E787" t="str">
            <v>23/09/2013</v>
          </cell>
        </row>
        <row r="788">
          <cell r="A788" t="str">
            <v>80110401BF1</v>
          </cell>
          <cell r="B788">
            <v>1</v>
          </cell>
          <cell r="C788" t="str">
            <v>70110401BM1</v>
          </cell>
          <cell r="D788">
            <v>94600</v>
          </cell>
          <cell r="E788" t="str">
            <v>23/09/2013</v>
          </cell>
        </row>
        <row r="789">
          <cell r="A789" t="str">
            <v>80110401CF1</v>
          </cell>
          <cell r="B789">
            <v>1.1000000000000001</v>
          </cell>
          <cell r="C789" t="str">
            <v>70110401CM1</v>
          </cell>
          <cell r="D789">
            <v>94600</v>
          </cell>
          <cell r="E789" t="str">
            <v>23/09/2013</v>
          </cell>
        </row>
        <row r="790">
          <cell r="A790" t="str">
            <v>80110401DF1</v>
          </cell>
          <cell r="B790">
            <v>0.22</v>
          </cell>
          <cell r="C790" t="str">
            <v>70110401DM1</v>
          </cell>
          <cell r="D790">
            <v>94600</v>
          </cell>
          <cell r="E790" t="str">
            <v>23/09/2013</v>
          </cell>
        </row>
        <row r="791">
          <cell r="A791" t="str">
            <v>80110802AF1</v>
          </cell>
          <cell r="B791">
            <v>0.26</v>
          </cell>
          <cell r="C791" t="str">
            <v>70110802AM1</v>
          </cell>
          <cell r="D791">
            <v>94600</v>
          </cell>
          <cell r="E791" t="str">
            <v>23/09/2013</v>
          </cell>
        </row>
        <row r="792">
          <cell r="A792" t="str">
            <v>80111101AF1</v>
          </cell>
          <cell r="B792">
            <v>0.26</v>
          </cell>
          <cell r="C792" t="str">
            <v>70111101AM1</v>
          </cell>
          <cell r="D792">
            <v>94600</v>
          </cell>
          <cell r="E792" t="str">
            <v>23/09/2013</v>
          </cell>
        </row>
        <row r="793">
          <cell r="A793" t="str">
            <v>80161602AF1</v>
          </cell>
          <cell r="B793">
            <v>0.26</v>
          </cell>
          <cell r="C793" t="str">
            <v>70161602AM1</v>
          </cell>
          <cell r="D793">
            <v>94600</v>
          </cell>
          <cell r="E793" t="str">
            <v>23/09/2013</v>
          </cell>
        </row>
        <row r="794">
          <cell r="A794" t="str">
            <v>80250203BF1</v>
          </cell>
          <cell r="B794">
            <v>0.26</v>
          </cell>
          <cell r="C794" t="str">
            <v>70250203BM1</v>
          </cell>
          <cell r="D794">
            <v>94600</v>
          </cell>
          <cell r="E794" t="str">
            <v>23/09/2013</v>
          </cell>
        </row>
        <row r="795">
          <cell r="A795" t="str">
            <v>80250301BF1</v>
          </cell>
          <cell r="B795">
            <v>0.22</v>
          </cell>
          <cell r="C795" t="str">
            <v>70250301AM1</v>
          </cell>
          <cell r="D795">
            <v>94600</v>
          </cell>
          <cell r="E795" t="str">
            <v>23/09/2013</v>
          </cell>
        </row>
        <row r="796">
          <cell r="A796" t="str">
            <v>80250301CF1</v>
          </cell>
          <cell r="B796">
            <v>0.22</v>
          </cell>
          <cell r="C796" t="str">
            <v>70250301CM1</v>
          </cell>
          <cell r="D796">
            <v>94600</v>
          </cell>
          <cell r="E796" t="str">
            <v>23/09/2013</v>
          </cell>
        </row>
        <row r="797">
          <cell r="A797" t="str">
            <v>80250501AF1</v>
          </cell>
          <cell r="B797">
            <v>1</v>
          </cell>
          <cell r="C797" t="str">
            <v>70250501AM1</v>
          </cell>
          <cell r="D797">
            <v>94600</v>
          </cell>
          <cell r="E797" t="str">
            <v>23/09/2013</v>
          </cell>
        </row>
        <row r="798">
          <cell r="A798" t="str">
            <v>80250502AF1</v>
          </cell>
          <cell r="B798">
            <v>0.22</v>
          </cell>
          <cell r="C798" t="str">
            <v>70250502AM1</v>
          </cell>
          <cell r="D798">
            <v>94600</v>
          </cell>
          <cell r="E798" t="str">
            <v>23/09/2013</v>
          </cell>
        </row>
        <row r="799">
          <cell r="A799" t="str">
            <v>80261201BF1</v>
          </cell>
          <cell r="B799">
            <v>0.22</v>
          </cell>
          <cell r="C799" t="str">
            <v>70261201BM1</v>
          </cell>
          <cell r="D799">
            <v>94600</v>
          </cell>
          <cell r="E799" t="str">
            <v>23/09/2013</v>
          </cell>
        </row>
        <row r="800">
          <cell r="A800" t="str">
            <v>80261801BF1</v>
          </cell>
          <cell r="B800">
            <v>0.22</v>
          </cell>
          <cell r="C800" t="str">
            <v>70261801BM1</v>
          </cell>
          <cell r="D800">
            <v>94600</v>
          </cell>
          <cell r="E800" t="str">
            <v>23/09/2013</v>
          </cell>
        </row>
        <row r="801">
          <cell r="A801" t="str">
            <v>80262201AF1</v>
          </cell>
          <cell r="B801">
            <v>1</v>
          </cell>
          <cell r="C801" t="str">
            <v>70262201AM1</v>
          </cell>
          <cell r="D801">
            <v>94600</v>
          </cell>
          <cell r="E801" t="str">
            <v>23/09/2013</v>
          </cell>
        </row>
        <row r="802">
          <cell r="A802" t="str">
            <v>80262301AF1</v>
          </cell>
          <cell r="B802">
            <v>0.22</v>
          </cell>
          <cell r="C802" t="str">
            <v>70262301AM1</v>
          </cell>
          <cell r="D802">
            <v>94600</v>
          </cell>
          <cell r="E802" t="str">
            <v>23/09/2013</v>
          </cell>
        </row>
        <row r="803">
          <cell r="A803" t="str">
            <v>80301401AF1</v>
          </cell>
          <cell r="B803">
            <v>1</v>
          </cell>
          <cell r="C803" t="str">
            <v>70301401AM1</v>
          </cell>
          <cell r="D803">
            <v>94600</v>
          </cell>
          <cell r="E803" t="str">
            <v>23/09/2013</v>
          </cell>
        </row>
        <row r="804">
          <cell r="A804" t="str">
            <v>80301403AF1</v>
          </cell>
          <cell r="B804">
            <v>0.22</v>
          </cell>
          <cell r="C804" t="str">
            <v>70301403AM1</v>
          </cell>
          <cell r="D804">
            <v>94600</v>
          </cell>
          <cell r="E804" t="str">
            <v>23/09/2013</v>
          </cell>
        </row>
        <row r="805">
          <cell r="A805" t="str">
            <v>80301601AF1</v>
          </cell>
          <cell r="B805">
            <v>0.22</v>
          </cell>
          <cell r="C805" t="str">
            <v>70301601AM1</v>
          </cell>
          <cell r="D805">
            <v>94600</v>
          </cell>
          <cell r="E805" t="str">
            <v>23/09/2013</v>
          </cell>
        </row>
        <row r="806">
          <cell r="A806" t="str">
            <v>80342801AF1</v>
          </cell>
          <cell r="B806">
            <v>0.64</v>
          </cell>
          <cell r="C806" t="str">
            <v>70342801AM1</v>
          </cell>
          <cell r="D806">
            <v>94600</v>
          </cell>
          <cell r="E806" t="str">
            <v>23/09/2013</v>
          </cell>
        </row>
        <row r="807">
          <cell r="A807" t="str">
            <v>80342801DF1</v>
          </cell>
          <cell r="B807">
            <v>0.64</v>
          </cell>
          <cell r="C807" t="str">
            <v>70342801AM1</v>
          </cell>
          <cell r="D807">
            <v>94600</v>
          </cell>
          <cell r="E807" t="str">
            <v>23/09/2013</v>
          </cell>
        </row>
        <row r="808">
          <cell r="A808" t="str">
            <v>80342801IF1</v>
          </cell>
          <cell r="B808">
            <v>0.22</v>
          </cell>
          <cell r="C808" t="str">
            <v>70342801IM1</v>
          </cell>
          <cell r="D808">
            <v>94600</v>
          </cell>
          <cell r="E808" t="str">
            <v>23/09/2013</v>
          </cell>
        </row>
        <row r="809">
          <cell r="A809" t="str">
            <v>80342901AF1</v>
          </cell>
          <cell r="B809">
            <v>0.64</v>
          </cell>
          <cell r="C809" t="str">
            <v>70342901AM1</v>
          </cell>
          <cell r="D809">
            <v>94600</v>
          </cell>
          <cell r="E809" t="str">
            <v>23/09/2013</v>
          </cell>
        </row>
        <row r="810">
          <cell r="A810" t="str">
            <v>80390901AF1</v>
          </cell>
          <cell r="B810">
            <v>2.1</v>
          </cell>
          <cell r="C810" t="str">
            <v>70390901AM1</v>
          </cell>
          <cell r="D810">
            <v>94600</v>
          </cell>
          <cell r="E810" t="str">
            <v>23/09/2013</v>
          </cell>
        </row>
        <row r="811">
          <cell r="A811" t="str">
            <v>80414206AF1</v>
          </cell>
          <cell r="B811">
            <v>0.7</v>
          </cell>
          <cell r="C811" t="str">
            <v>70414206AM1</v>
          </cell>
          <cell r="D811">
            <v>94600</v>
          </cell>
          <cell r="E811" t="str">
            <v>23/09/2013</v>
          </cell>
        </row>
        <row r="812">
          <cell r="A812" t="str">
            <v>80414207AF1</v>
          </cell>
          <cell r="B812">
            <v>0.26</v>
          </cell>
          <cell r="C812" t="str">
            <v>70414207AM1</v>
          </cell>
          <cell r="D812">
            <v>94600</v>
          </cell>
          <cell r="E812" t="str">
            <v>23/09/2013</v>
          </cell>
        </row>
        <row r="813">
          <cell r="A813" t="str">
            <v>80414401AF1</v>
          </cell>
          <cell r="B813">
            <v>0.22</v>
          </cell>
          <cell r="C813" t="str">
            <v>70414401AM1</v>
          </cell>
          <cell r="D813">
            <v>94600</v>
          </cell>
          <cell r="E813" t="str">
            <v>23/09/2013</v>
          </cell>
        </row>
        <row r="814">
          <cell r="A814" t="str">
            <v>80414401CF1</v>
          </cell>
          <cell r="B814">
            <v>0.9</v>
          </cell>
          <cell r="C814" t="str">
            <v>70414401CM1</v>
          </cell>
          <cell r="D814">
            <v>94600</v>
          </cell>
          <cell r="E814" t="str">
            <v>23/09/2013</v>
          </cell>
        </row>
        <row r="815">
          <cell r="A815" t="str">
            <v>80414401DF1</v>
          </cell>
          <cell r="B815">
            <v>0.9</v>
          </cell>
          <cell r="C815" t="str">
            <v>70414401DM1</v>
          </cell>
          <cell r="D815">
            <v>94600</v>
          </cell>
          <cell r="E815" t="str">
            <v>23/09/2013</v>
          </cell>
        </row>
        <row r="816">
          <cell r="A816" t="str">
            <v>80414401EF1</v>
          </cell>
          <cell r="B816">
            <v>2</v>
          </cell>
          <cell r="C816" t="str">
            <v>70414401EM1</v>
          </cell>
          <cell r="D816">
            <v>94600</v>
          </cell>
          <cell r="E816" t="str">
            <v>23/09/2013</v>
          </cell>
        </row>
        <row r="817">
          <cell r="A817" t="str">
            <v>80414401FF1</v>
          </cell>
          <cell r="B817">
            <v>0.22</v>
          </cell>
          <cell r="C817" t="str">
            <v>70414401FM1</v>
          </cell>
          <cell r="D817">
            <v>94600</v>
          </cell>
          <cell r="E817" t="str">
            <v>23/09/2013</v>
          </cell>
        </row>
        <row r="818">
          <cell r="A818" t="str">
            <v>80414401GF1</v>
          </cell>
          <cell r="B818">
            <v>0.22</v>
          </cell>
          <cell r="C818" t="str">
            <v>70414401GM1</v>
          </cell>
          <cell r="D818">
            <v>94600</v>
          </cell>
          <cell r="E818" t="str">
            <v>23/09/2013</v>
          </cell>
        </row>
        <row r="819">
          <cell r="A819" t="str">
            <v>80414601AF1</v>
          </cell>
          <cell r="B819">
            <v>0.22</v>
          </cell>
          <cell r="C819" t="str">
            <v>70414601AM1</v>
          </cell>
          <cell r="D819">
            <v>94600</v>
          </cell>
          <cell r="E819" t="str">
            <v>23/09/2013</v>
          </cell>
        </row>
        <row r="820">
          <cell r="A820" t="str">
            <v>80414601BF1</v>
          </cell>
          <cell r="B820">
            <v>0.22</v>
          </cell>
          <cell r="C820" t="str">
            <v>70414601BM1</v>
          </cell>
          <cell r="D820">
            <v>94600</v>
          </cell>
          <cell r="E820" t="str">
            <v>23/09/2013</v>
          </cell>
        </row>
        <row r="821">
          <cell r="A821" t="str">
            <v>80414601DF1</v>
          </cell>
          <cell r="B821">
            <v>0.9</v>
          </cell>
          <cell r="C821" t="str">
            <v>70414601DM1</v>
          </cell>
          <cell r="D821">
            <v>94600</v>
          </cell>
          <cell r="E821" t="str">
            <v>23/09/2013</v>
          </cell>
        </row>
        <row r="822">
          <cell r="A822" t="str">
            <v>80414601EF1</v>
          </cell>
          <cell r="B822">
            <v>0.22</v>
          </cell>
          <cell r="C822" t="str">
            <v>70414601EM1</v>
          </cell>
          <cell r="D822">
            <v>94600</v>
          </cell>
          <cell r="E822" t="str">
            <v>23/09/2013</v>
          </cell>
        </row>
        <row r="823">
          <cell r="A823" t="str">
            <v>80430301AF1</v>
          </cell>
          <cell r="B823">
            <v>0.9</v>
          </cell>
          <cell r="C823" t="str">
            <v>70430301AM1</v>
          </cell>
          <cell r="D823">
            <v>94600</v>
          </cell>
          <cell r="E823" t="str">
            <v>23/09/2013</v>
          </cell>
        </row>
        <row r="824">
          <cell r="A824" t="str">
            <v>80492605EF1</v>
          </cell>
          <cell r="B824">
            <v>0.64</v>
          </cell>
          <cell r="C824" t="str">
            <v>70492605EM1</v>
          </cell>
          <cell r="D824">
            <v>94600</v>
          </cell>
          <cell r="E824" t="str">
            <v>23/09/2013</v>
          </cell>
        </row>
        <row r="825">
          <cell r="A825" t="str">
            <v>80492605FF1</v>
          </cell>
          <cell r="B825">
            <v>0.64</v>
          </cell>
          <cell r="C825" t="str">
            <v>70492605EM1</v>
          </cell>
          <cell r="D825">
            <v>94600</v>
          </cell>
          <cell r="E825" t="str">
            <v>23/09/2013</v>
          </cell>
        </row>
        <row r="826">
          <cell r="A826" t="str">
            <v>80492606BF1</v>
          </cell>
          <cell r="B826">
            <v>0.64</v>
          </cell>
          <cell r="C826" t="str">
            <v>70492606BM1</v>
          </cell>
          <cell r="D826">
            <v>94600</v>
          </cell>
          <cell r="E826" t="str">
            <v>23/09/2013</v>
          </cell>
        </row>
        <row r="827">
          <cell r="A827" t="str">
            <v>80493601GF1</v>
          </cell>
          <cell r="B827">
            <v>0.64</v>
          </cell>
          <cell r="C827" t="str">
            <v>70493601GM1</v>
          </cell>
          <cell r="D827">
            <v>94600</v>
          </cell>
          <cell r="E827" t="str">
            <v>23/09/2013</v>
          </cell>
        </row>
        <row r="828">
          <cell r="A828" t="str">
            <v>80493601IF1</v>
          </cell>
          <cell r="B828">
            <v>1</v>
          </cell>
          <cell r="C828" t="str">
            <v>70493601IM1</v>
          </cell>
          <cell r="D828">
            <v>94600</v>
          </cell>
          <cell r="E828" t="str">
            <v>23/09/2013</v>
          </cell>
        </row>
        <row r="829">
          <cell r="A829" t="str">
            <v>80493601JF1</v>
          </cell>
          <cell r="B829">
            <v>0.22</v>
          </cell>
          <cell r="C829" t="str">
            <v>70493601JM1</v>
          </cell>
          <cell r="D829">
            <v>94600</v>
          </cell>
          <cell r="E829" t="str">
            <v>23/09/2013</v>
          </cell>
        </row>
        <row r="830">
          <cell r="A830" t="str">
            <v>80495204CF1</v>
          </cell>
          <cell r="B830">
            <v>0.64</v>
          </cell>
          <cell r="C830" t="str">
            <v>70495204CM1</v>
          </cell>
          <cell r="D830">
            <v>94600</v>
          </cell>
          <cell r="E830" t="str">
            <v>23/09/2013</v>
          </cell>
        </row>
        <row r="831">
          <cell r="A831" t="str">
            <v>80495206AF1</v>
          </cell>
          <cell r="B831">
            <v>0.64</v>
          </cell>
          <cell r="C831" t="str">
            <v>70495206AM1</v>
          </cell>
          <cell r="D831">
            <v>94600</v>
          </cell>
          <cell r="E831" t="str">
            <v>23/09/2013</v>
          </cell>
        </row>
        <row r="832">
          <cell r="A832" t="str">
            <v>80495207AF1</v>
          </cell>
          <cell r="B832">
            <v>0.64</v>
          </cell>
          <cell r="C832" t="str">
            <v>70495207AM1</v>
          </cell>
          <cell r="D832">
            <v>94600</v>
          </cell>
          <cell r="E832" t="str">
            <v>23/09/2013</v>
          </cell>
        </row>
        <row r="833">
          <cell r="A833" t="str">
            <v>80495208AF1</v>
          </cell>
          <cell r="B833">
            <v>0.64</v>
          </cell>
          <cell r="C833" t="str">
            <v>70495208AM1</v>
          </cell>
          <cell r="D833">
            <v>94600</v>
          </cell>
          <cell r="E833" t="str">
            <v>23/09/2013</v>
          </cell>
        </row>
        <row r="834">
          <cell r="A834" t="str">
            <v>80495209AF1</v>
          </cell>
          <cell r="B834">
            <v>0.64</v>
          </cell>
          <cell r="C834" t="str">
            <v>70495209AM1</v>
          </cell>
          <cell r="D834">
            <v>94600</v>
          </cell>
          <cell r="E834" t="str">
            <v>23/09/2013</v>
          </cell>
        </row>
        <row r="835">
          <cell r="A835" t="str">
            <v>80496505AF1</v>
          </cell>
          <cell r="B835">
            <v>0.22</v>
          </cell>
          <cell r="C835" t="str">
            <v>70496505AM1</v>
          </cell>
          <cell r="D835">
            <v>94600</v>
          </cell>
          <cell r="E835" t="str">
            <v>23/09/2013</v>
          </cell>
        </row>
        <row r="836">
          <cell r="A836" t="str">
            <v>80496505BF1</v>
          </cell>
          <cell r="B836">
            <v>0</v>
          </cell>
          <cell r="C836" t="str">
            <v>70496505AM1</v>
          </cell>
          <cell r="D836">
            <v>94600</v>
          </cell>
          <cell r="E836" t="str">
            <v>23/09/2013</v>
          </cell>
        </row>
        <row r="837">
          <cell r="A837" t="str">
            <v>80496505DF1</v>
          </cell>
          <cell r="B837">
            <v>1</v>
          </cell>
          <cell r="C837" t="str">
            <v>70496505DM1</v>
          </cell>
          <cell r="D837">
            <v>94600</v>
          </cell>
          <cell r="E837" t="str">
            <v>23/09/2013</v>
          </cell>
        </row>
        <row r="838">
          <cell r="A838" t="str">
            <v>80496505EF1</v>
          </cell>
          <cell r="B838">
            <v>0.22</v>
          </cell>
          <cell r="C838" t="str">
            <v>70496505EM1</v>
          </cell>
          <cell r="D838">
            <v>94600</v>
          </cell>
          <cell r="E838" t="str">
            <v>23/09/2013</v>
          </cell>
        </row>
        <row r="839">
          <cell r="A839" t="str">
            <v>80496701AF1</v>
          </cell>
          <cell r="B839">
            <v>3.2</v>
          </cell>
          <cell r="C839" t="str">
            <v>70496701AM1</v>
          </cell>
          <cell r="D839">
            <v>94600</v>
          </cell>
          <cell r="E839" t="str">
            <v>23/09/2013</v>
          </cell>
        </row>
        <row r="840">
          <cell r="A840" t="str">
            <v>80496703AF1</v>
          </cell>
          <cell r="B840">
            <v>0</v>
          </cell>
          <cell r="C840" t="str">
            <v>70496703AM1</v>
          </cell>
          <cell r="D840">
            <v>94600</v>
          </cell>
          <cell r="E840" t="str">
            <v>23/09/2013</v>
          </cell>
        </row>
        <row r="841">
          <cell r="A841" t="str">
            <v>80496704AF1</v>
          </cell>
          <cell r="B841">
            <v>0.22</v>
          </cell>
          <cell r="C841" t="str">
            <v>70496704AM1</v>
          </cell>
          <cell r="D841">
            <v>94600</v>
          </cell>
          <cell r="E841" t="str">
            <v>23/09/2013</v>
          </cell>
        </row>
        <row r="842">
          <cell r="A842" t="str">
            <v>80496704CF1</v>
          </cell>
          <cell r="B842">
            <v>0.28999999999999998</v>
          </cell>
          <cell r="C842" t="str">
            <v>70496704CM1</v>
          </cell>
          <cell r="D842">
            <v>94600</v>
          </cell>
          <cell r="E842" t="str">
            <v>23/09/2013</v>
          </cell>
        </row>
        <row r="843">
          <cell r="A843" t="str">
            <v>80496704EF1</v>
          </cell>
          <cell r="B843">
            <v>1</v>
          </cell>
          <cell r="C843" t="str">
            <v>70496704EM1</v>
          </cell>
          <cell r="D843">
            <v>94600</v>
          </cell>
          <cell r="E843" t="str">
            <v>23/09/2013</v>
          </cell>
        </row>
        <row r="844">
          <cell r="A844" t="str">
            <v>80496704GF1</v>
          </cell>
          <cell r="B844">
            <v>0.28999999999999998</v>
          </cell>
          <cell r="C844" t="str">
            <v>70496704GM1</v>
          </cell>
          <cell r="D844">
            <v>94600</v>
          </cell>
          <cell r="E844" t="str">
            <v>23/09/2013</v>
          </cell>
        </row>
        <row r="845">
          <cell r="A845" t="str">
            <v>80496704HF1</v>
          </cell>
          <cell r="B845">
            <v>0.28999999999999998</v>
          </cell>
          <cell r="C845" t="str">
            <v>70496704HM1</v>
          </cell>
          <cell r="D845">
            <v>94600</v>
          </cell>
          <cell r="E845" t="str">
            <v>23/09/2013</v>
          </cell>
        </row>
        <row r="846">
          <cell r="A846" t="str">
            <v>80496713AF1</v>
          </cell>
          <cell r="B846">
            <v>0.28999999999999998</v>
          </cell>
          <cell r="C846" t="str">
            <v>70496713AM1</v>
          </cell>
          <cell r="D846">
            <v>94600</v>
          </cell>
          <cell r="E846" t="str">
            <v>23/09/2013</v>
          </cell>
        </row>
        <row r="847">
          <cell r="A847" t="str">
            <v>80497005AF1</v>
          </cell>
          <cell r="B847">
            <v>0.26</v>
          </cell>
          <cell r="C847" t="str">
            <v>70497005AM1</v>
          </cell>
          <cell r="D847">
            <v>94600</v>
          </cell>
          <cell r="E847" t="str">
            <v>23/09/2013</v>
          </cell>
        </row>
        <row r="848">
          <cell r="A848" t="str">
            <v>80497005CF1</v>
          </cell>
          <cell r="B848">
            <v>0.74</v>
          </cell>
          <cell r="C848" t="str">
            <v>70497005CM1</v>
          </cell>
          <cell r="D848">
            <v>94600</v>
          </cell>
          <cell r="E848" t="str">
            <v>23/09/2013</v>
          </cell>
        </row>
        <row r="849">
          <cell r="A849" t="str">
            <v>80497009AF1</v>
          </cell>
          <cell r="B849">
            <v>0.26</v>
          </cell>
          <cell r="C849" t="str">
            <v>70497009AM1</v>
          </cell>
          <cell r="D849">
            <v>94600</v>
          </cell>
          <cell r="E849" t="str">
            <v>23/09/2013</v>
          </cell>
        </row>
        <row r="850">
          <cell r="A850" t="str">
            <v>80497009BF1</v>
          </cell>
          <cell r="B850">
            <v>0.26</v>
          </cell>
          <cell r="C850" t="str">
            <v>70497009BM1</v>
          </cell>
          <cell r="D850">
            <v>94600</v>
          </cell>
          <cell r="E850" t="str">
            <v>23/09/2013</v>
          </cell>
        </row>
        <row r="851">
          <cell r="A851" t="str">
            <v>80497501AF1</v>
          </cell>
          <cell r="B851">
            <v>0.22</v>
          </cell>
          <cell r="C851" t="str">
            <v>70497501AM1</v>
          </cell>
          <cell r="D851">
            <v>94600</v>
          </cell>
          <cell r="E851" t="str">
            <v>23/09/2013</v>
          </cell>
        </row>
        <row r="852">
          <cell r="A852" t="str">
            <v>80497501DF1</v>
          </cell>
          <cell r="B852">
            <v>0.22</v>
          </cell>
          <cell r="C852" t="str">
            <v>70497501DM1</v>
          </cell>
          <cell r="D852">
            <v>94600</v>
          </cell>
          <cell r="E852" t="str">
            <v>23/09/2013</v>
          </cell>
        </row>
        <row r="853">
          <cell r="A853" t="str">
            <v>80497602AF1</v>
          </cell>
          <cell r="B853">
            <v>0.26</v>
          </cell>
          <cell r="C853" t="str">
            <v>70497602AM1</v>
          </cell>
          <cell r="D853">
            <v>94600</v>
          </cell>
          <cell r="E853" t="str">
            <v>23/09/2013</v>
          </cell>
        </row>
        <row r="854">
          <cell r="A854" t="str">
            <v>80497603AF1</v>
          </cell>
          <cell r="B854">
            <v>0.26</v>
          </cell>
          <cell r="C854" t="str">
            <v>70497603AM1</v>
          </cell>
          <cell r="D854">
            <v>94600</v>
          </cell>
          <cell r="E854" t="str">
            <v>23/09/2013</v>
          </cell>
        </row>
        <row r="855">
          <cell r="A855" t="str">
            <v>80498801AF1</v>
          </cell>
          <cell r="B855">
            <v>0.22</v>
          </cell>
          <cell r="C855" t="str">
            <v>70498801AM1</v>
          </cell>
          <cell r="D855">
            <v>94600</v>
          </cell>
          <cell r="E855" t="str">
            <v>23/09/2013</v>
          </cell>
        </row>
        <row r="856">
          <cell r="A856" t="str">
            <v>80498801BF1</v>
          </cell>
          <cell r="B856">
            <v>0.22</v>
          </cell>
          <cell r="C856" t="str">
            <v>70498801BM1</v>
          </cell>
          <cell r="D856">
            <v>94600</v>
          </cell>
          <cell r="E856" t="str">
            <v>23/09/2013</v>
          </cell>
        </row>
        <row r="857">
          <cell r="A857" t="str">
            <v>80498801CF1</v>
          </cell>
          <cell r="B857">
            <v>0.28999999999999998</v>
          </cell>
          <cell r="C857" t="str">
            <v>70498801CM1</v>
          </cell>
          <cell r="D857">
            <v>94600</v>
          </cell>
          <cell r="E857" t="str">
            <v>23/09/2013</v>
          </cell>
        </row>
        <row r="858">
          <cell r="A858" t="str">
            <v>80498802AF1</v>
          </cell>
          <cell r="B858">
            <v>1</v>
          </cell>
          <cell r="C858" t="str">
            <v>70498802AM1</v>
          </cell>
          <cell r="D858">
            <v>94600</v>
          </cell>
          <cell r="E858" t="str">
            <v>23/09/2013</v>
          </cell>
        </row>
        <row r="859">
          <cell r="A859" t="str">
            <v>80498802BF1</v>
          </cell>
          <cell r="B859">
            <v>0.28999999999999998</v>
          </cell>
          <cell r="C859" t="str">
            <v>70498802BM1</v>
          </cell>
          <cell r="D859">
            <v>94600</v>
          </cell>
          <cell r="E859" t="str">
            <v>23/09/2013</v>
          </cell>
        </row>
        <row r="860">
          <cell r="A860" t="str">
            <v>80498803AF1</v>
          </cell>
          <cell r="B860">
            <v>0.22</v>
          </cell>
          <cell r="C860" t="str">
            <v>70498803AM1</v>
          </cell>
          <cell r="D860">
            <v>94600</v>
          </cell>
          <cell r="E860" t="str">
            <v>23/09/2013</v>
          </cell>
        </row>
        <row r="861">
          <cell r="A861" t="str">
            <v>80641610BF1</v>
          </cell>
          <cell r="B861">
            <v>0.64</v>
          </cell>
          <cell r="C861" t="str">
            <v>70641610AM1</v>
          </cell>
          <cell r="D861">
            <v>94600</v>
          </cell>
          <cell r="E861" t="str">
            <v>23/09/2013</v>
          </cell>
        </row>
        <row r="862">
          <cell r="A862" t="str">
            <v>80641610FF1</v>
          </cell>
          <cell r="B862">
            <v>0.9</v>
          </cell>
          <cell r="C862" t="str">
            <v>70641610FM1</v>
          </cell>
          <cell r="D862">
            <v>94600</v>
          </cell>
          <cell r="E862" t="str">
            <v>23/09/2013</v>
          </cell>
        </row>
        <row r="863">
          <cell r="A863" t="str">
            <v>80641610HF1</v>
          </cell>
          <cell r="B863">
            <v>0.22</v>
          </cell>
          <cell r="C863" t="str">
            <v>70641610HM1</v>
          </cell>
          <cell r="D863">
            <v>94600</v>
          </cell>
          <cell r="E863" t="str">
            <v>23/09/2013</v>
          </cell>
        </row>
        <row r="864">
          <cell r="A864" t="str">
            <v>80641610IF1</v>
          </cell>
          <cell r="B864">
            <v>0.9</v>
          </cell>
          <cell r="C864" t="str">
            <v>70641610HM1</v>
          </cell>
          <cell r="D864">
            <v>94600</v>
          </cell>
          <cell r="E864" t="str">
            <v>23/09/2013</v>
          </cell>
        </row>
        <row r="865">
          <cell r="A865" t="str">
            <v>80641610JF1</v>
          </cell>
          <cell r="B865">
            <v>1</v>
          </cell>
          <cell r="C865" t="str">
            <v>70641610JM1</v>
          </cell>
          <cell r="D865">
            <v>94600</v>
          </cell>
          <cell r="E865" t="str">
            <v>23/09/2013</v>
          </cell>
        </row>
        <row r="866">
          <cell r="A866" t="str">
            <v>80642006AF1</v>
          </cell>
          <cell r="B866">
            <v>0.64</v>
          </cell>
          <cell r="C866" t="str">
            <v>70642006AM1</v>
          </cell>
          <cell r="D866">
            <v>94600</v>
          </cell>
          <cell r="E866" t="str">
            <v>23/09/2013</v>
          </cell>
        </row>
        <row r="867">
          <cell r="A867" t="str">
            <v>80642006EF1</v>
          </cell>
          <cell r="B867">
            <v>0.28999999999999998</v>
          </cell>
          <cell r="C867" t="str">
            <v>70642006EM1</v>
          </cell>
          <cell r="D867">
            <v>94600</v>
          </cell>
          <cell r="E867" t="str">
            <v>23/09/2013</v>
          </cell>
        </row>
        <row r="868">
          <cell r="A868" t="str">
            <v>80642304AF1</v>
          </cell>
          <cell r="B868">
            <v>0.64</v>
          </cell>
          <cell r="C868" t="str">
            <v>70642304AM1</v>
          </cell>
          <cell r="D868">
            <v>94600</v>
          </cell>
          <cell r="E868" t="str">
            <v>23/09/2013</v>
          </cell>
        </row>
        <row r="869">
          <cell r="A869" t="str">
            <v>80642304JF1</v>
          </cell>
          <cell r="B869">
            <v>2</v>
          </cell>
          <cell r="C869" t="str">
            <v>70642304GM1</v>
          </cell>
          <cell r="D869">
            <v>94600</v>
          </cell>
          <cell r="E869" t="str">
            <v>23/09/2013</v>
          </cell>
        </row>
        <row r="870">
          <cell r="A870" t="str">
            <v>80642310AF1</v>
          </cell>
          <cell r="B870">
            <v>2.9</v>
          </cell>
          <cell r="C870" t="str">
            <v>70642310AM1</v>
          </cell>
          <cell r="D870">
            <v>94600</v>
          </cell>
          <cell r="E870" t="str">
            <v>23/09/2013</v>
          </cell>
        </row>
        <row r="871">
          <cell r="A871" t="str">
            <v>80642901CF1</v>
          </cell>
          <cell r="B871">
            <v>0.22</v>
          </cell>
          <cell r="C871" t="str">
            <v>70642901CM1</v>
          </cell>
          <cell r="D871">
            <v>94600</v>
          </cell>
          <cell r="E871" t="str">
            <v>23/09/2013</v>
          </cell>
        </row>
        <row r="872">
          <cell r="A872" t="str">
            <v>80645001AF1</v>
          </cell>
          <cell r="B872">
            <v>0.64</v>
          </cell>
          <cell r="C872" t="str">
            <v>70645001AM1</v>
          </cell>
          <cell r="D872">
            <v>94600</v>
          </cell>
          <cell r="E872" t="str">
            <v>23/09/2013</v>
          </cell>
        </row>
        <row r="873">
          <cell r="A873" t="str">
            <v>80645301AF1</v>
          </cell>
          <cell r="B873">
            <v>0.9</v>
          </cell>
          <cell r="C873" t="str">
            <v>70645301AM1</v>
          </cell>
          <cell r="D873">
            <v>94600</v>
          </cell>
          <cell r="E873" t="str">
            <v>23/09/2013</v>
          </cell>
        </row>
        <row r="874">
          <cell r="A874" t="str">
            <v>80645302AF1</v>
          </cell>
          <cell r="B874">
            <v>0.22</v>
          </cell>
          <cell r="C874" t="str">
            <v>70645302AM1</v>
          </cell>
          <cell r="D874">
            <v>94600</v>
          </cell>
          <cell r="E874" t="str">
            <v>23/09/2013</v>
          </cell>
        </row>
        <row r="875">
          <cell r="A875" t="str">
            <v>80662401BF1</v>
          </cell>
          <cell r="B875">
            <v>0.64</v>
          </cell>
          <cell r="C875" t="str">
            <v>70662401BM1</v>
          </cell>
          <cell r="D875">
            <v>94600</v>
          </cell>
          <cell r="E875" t="str">
            <v>23/09/2013</v>
          </cell>
        </row>
        <row r="876">
          <cell r="A876" t="str">
            <v>80662401PF1</v>
          </cell>
          <cell r="B876">
            <v>0.64</v>
          </cell>
          <cell r="C876" t="str">
            <v>70662401PM1</v>
          </cell>
          <cell r="D876">
            <v>94600</v>
          </cell>
          <cell r="E876" t="str">
            <v>23/09/2013</v>
          </cell>
        </row>
        <row r="877">
          <cell r="A877" t="str">
            <v>80690801AF2</v>
          </cell>
          <cell r="B877">
            <v>1</v>
          </cell>
          <cell r="C877" t="str">
            <v>70690801AM2</v>
          </cell>
          <cell r="D877">
            <v>94600</v>
          </cell>
          <cell r="E877" t="str">
            <v>23/09/2013</v>
          </cell>
        </row>
        <row r="878">
          <cell r="A878" t="str">
            <v>80690801BF1</v>
          </cell>
          <cell r="B878">
            <v>1</v>
          </cell>
          <cell r="C878" t="str">
            <v>70690801BM1</v>
          </cell>
          <cell r="D878">
            <v>94600</v>
          </cell>
          <cell r="E878" t="str">
            <v>23/09/2013</v>
          </cell>
        </row>
        <row r="879">
          <cell r="A879" t="str">
            <v>80690801CF1</v>
          </cell>
          <cell r="B879">
            <v>0.22</v>
          </cell>
          <cell r="C879" t="str">
            <v>70690801CM1</v>
          </cell>
          <cell r="D879">
            <v>94600</v>
          </cell>
          <cell r="E879" t="str">
            <v>23/09/2013</v>
          </cell>
        </row>
        <row r="880">
          <cell r="A880" t="str">
            <v>80720105CF1</v>
          </cell>
          <cell r="B880">
            <v>0.6</v>
          </cell>
          <cell r="C880" t="str">
            <v>70720105CM1</v>
          </cell>
          <cell r="D880">
            <v>94600</v>
          </cell>
          <cell r="E880" t="str">
            <v>23/09/2013</v>
          </cell>
        </row>
        <row r="881">
          <cell r="A881" t="str">
            <v>80720105EF1</v>
          </cell>
          <cell r="B881">
            <v>0.6</v>
          </cell>
          <cell r="C881" t="str">
            <v>70720105EM1</v>
          </cell>
          <cell r="D881">
            <v>94600</v>
          </cell>
          <cell r="E881" t="str">
            <v>23/09/2013</v>
          </cell>
        </row>
        <row r="882">
          <cell r="A882" t="str">
            <v>80720302AF1</v>
          </cell>
          <cell r="B882">
            <v>0.22</v>
          </cell>
          <cell r="C882" t="str">
            <v>70720302AM1</v>
          </cell>
          <cell r="D882">
            <v>94600</v>
          </cell>
          <cell r="E882" t="str">
            <v>23/09/2013</v>
          </cell>
        </row>
        <row r="883">
          <cell r="A883" t="str">
            <v>80722903AF1</v>
          </cell>
          <cell r="B883">
            <v>0.64</v>
          </cell>
          <cell r="C883" t="str">
            <v>70722903AM1</v>
          </cell>
          <cell r="D883">
            <v>94600</v>
          </cell>
          <cell r="E883" t="str">
            <v>23/09/2013</v>
          </cell>
        </row>
        <row r="884">
          <cell r="A884" t="str">
            <v>80722903CF1</v>
          </cell>
          <cell r="B884">
            <v>0.9</v>
          </cell>
          <cell r="C884" t="str">
            <v>70722903CM1</v>
          </cell>
          <cell r="D884">
            <v>94600</v>
          </cell>
          <cell r="E884" t="str">
            <v>23/09/2013</v>
          </cell>
        </row>
        <row r="885">
          <cell r="A885" t="str">
            <v>80722903EF1</v>
          </cell>
          <cell r="B885">
            <v>0.22</v>
          </cell>
          <cell r="C885" t="str">
            <v>70722903EM1</v>
          </cell>
          <cell r="D885">
            <v>94600</v>
          </cell>
          <cell r="E885" t="str">
            <v>23/09/2013</v>
          </cell>
        </row>
        <row r="886">
          <cell r="A886" t="str">
            <v>80722903HF1</v>
          </cell>
          <cell r="B886">
            <v>0.28999999999999998</v>
          </cell>
          <cell r="C886" t="str">
            <v>70722903HM1</v>
          </cell>
          <cell r="D886">
            <v>94600</v>
          </cell>
          <cell r="E886" t="str">
            <v>23/09/2013</v>
          </cell>
        </row>
        <row r="887">
          <cell r="A887" t="str">
            <v>80723003AF1</v>
          </cell>
          <cell r="B887">
            <v>2.1</v>
          </cell>
          <cell r="C887" t="str">
            <v>70723003AM1</v>
          </cell>
          <cell r="D887">
            <v>94600</v>
          </cell>
          <cell r="E887" t="str">
            <v>23/09/2013</v>
          </cell>
        </row>
        <row r="888">
          <cell r="A888" t="str">
            <v>80723003DF1</v>
          </cell>
          <cell r="B888">
            <v>2.1</v>
          </cell>
          <cell r="C888" t="str">
            <v>70723003DM1</v>
          </cell>
          <cell r="D888">
            <v>94600</v>
          </cell>
          <cell r="E888" t="str">
            <v>23/09/2013</v>
          </cell>
        </row>
        <row r="889">
          <cell r="A889" t="str">
            <v>80723003EF1</v>
          </cell>
          <cell r="B889">
            <v>0.26</v>
          </cell>
          <cell r="C889" t="str">
            <v>70723003EM1</v>
          </cell>
          <cell r="D889">
            <v>94600</v>
          </cell>
          <cell r="E889" t="str">
            <v>23/09/2013</v>
          </cell>
        </row>
        <row r="890">
          <cell r="A890" t="str">
            <v>80723003FF1</v>
          </cell>
          <cell r="B890">
            <v>0.26</v>
          </cell>
          <cell r="C890" t="str">
            <v>70723003FM1</v>
          </cell>
          <cell r="D890">
            <v>94600</v>
          </cell>
          <cell r="E890" t="str">
            <v>23/09/2013</v>
          </cell>
        </row>
        <row r="891">
          <cell r="A891" t="str">
            <v>80723003GF1</v>
          </cell>
          <cell r="B891">
            <v>0.74</v>
          </cell>
          <cell r="C891" t="str">
            <v>70723003GM1</v>
          </cell>
          <cell r="D891">
            <v>94600</v>
          </cell>
          <cell r="E891" t="str">
            <v>23/09/2013</v>
          </cell>
        </row>
        <row r="892">
          <cell r="A892" t="str">
            <v>80723003IF1</v>
          </cell>
          <cell r="B892">
            <v>0.74</v>
          </cell>
          <cell r="C892" t="str">
            <v>70723003IM1</v>
          </cell>
          <cell r="D892">
            <v>94600</v>
          </cell>
          <cell r="E892" t="str">
            <v>23/09/2013</v>
          </cell>
        </row>
        <row r="893">
          <cell r="A893" t="str">
            <v>80723004AF1</v>
          </cell>
          <cell r="B893">
            <v>2.1</v>
          </cell>
          <cell r="C893" t="str">
            <v>70723004AM1</v>
          </cell>
          <cell r="D893">
            <v>94600</v>
          </cell>
          <cell r="E893" t="str">
            <v>23/09/2013</v>
          </cell>
        </row>
        <row r="894">
          <cell r="A894" t="str">
            <v>80723201AF1</v>
          </cell>
          <cell r="B894">
            <v>0.22</v>
          </cell>
          <cell r="C894" t="str">
            <v>70723201AM1</v>
          </cell>
          <cell r="D894">
            <v>94600</v>
          </cell>
          <cell r="E894" t="str">
            <v>23/09/2013</v>
          </cell>
        </row>
        <row r="895">
          <cell r="A895" t="str">
            <v>80781204AF1</v>
          </cell>
          <cell r="B895">
            <v>0.64</v>
          </cell>
          <cell r="C895" t="str">
            <v>70781204AM1</v>
          </cell>
          <cell r="D895">
            <v>94600</v>
          </cell>
          <cell r="E895" t="str">
            <v>23/09/2013</v>
          </cell>
        </row>
        <row r="896">
          <cell r="A896" t="str">
            <v>80781204BF1</v>
          </cell>
          <cell r="B896">
            <v>0.22</v>
          </cell>
          <cell r="C896" t="str">
            <v>70781204BM1</v>
          </cell>
          <cell r="D896">
            <v>94600</v>
          </cell>
          <cell r="E896" t="str">
            <v>23/09/2013</v>
          </cell>
        </row>
        <row r="897">
          <cell r="A897" t="str">
            <v>80781204CF1</v>
          </cell>
          <cell r="B897">
            <v>0.22</v>
          </cell>
          <cell r="C897" t="str">
            <v>70781204CM1</v>
          </cell>
          <cell r="D897">
            <v>94600</v>
          </cell>
          <cell r="E897" t="str">
            <v>23/09/2013</v>
          </cell>
        </row>
        <row r="898">
          <cell r="A898" t="str">
            <v>80781704BF1</v>
          </cell>
          <cell r="B898">
            <v>0.22</v>
          </cell>
          <cell r="C898" t="str">
            <v>70781704BM1</v>
          </cell>
          <cell r="D898">
            <v>94600</v>
          </cell>
          <cell r="E898" t="str">
            <v>23/09/2013</v>
          </cell>
        </row>
        <row r="899">
          <cell r="A899" t="str">
            <v>80781704CF1</v>
          </cell>
          <cell r="B899">
            <v>0.64</v>
          </cell>
          <cell r="C899" t="str">
            <v>70781704CM1</v>
          </cell>
          <cell r="D899">
            <v>94600</v>
          </cell>
          <cell r="E899" t="str">
            <v>23/09/2013</v>
          </cell>
        </row>
        <row r="900">
          <cell r="A900" t="str">
            <v>80781704GF1</v>
          </cell>
          <cell r="B900">
            <v>0.22</v>
          </cell>
          <cell r="C900" t="str">
            <v>70781704GM1</v>
          </cell>
          <cell r="D900">
            <v>94600</v>
          </cell>
          <cell r="E900" t="str">
            <v>23/09/2013</v>
          </cell>
        </row>
        <row r="901">
          <cell r="A901" t="str">
            <v>80781706AF1</v>
          </cell>
          <cell r="B901">
            <v>1</v>
          </cell>
          <cell r="C901" t="str">
            <v>70781706AM1</v>
          </cell>
          <cell r="D901">
            <v>94600</v>
          </cell>
          <cell r="E901" t="str">
            <v>23/09/2013</v>
          </cell>
        </row>
        <row r="902">
          <cell r="A902" t="str">
            <v>80781706CF1</v>
          </cell>
          <cell r="B902">
            <v>0.22</v>
          </cell>
          <cell r="C902" t="str">
            <v>70781706AM1</v>
          </cell>
          <cell r="D902">
            <v>94600</v>
          </cell>
          <cell r="E902" t="str">
            <v>23/09/2013</v>
          </cell>
        </row>
        <row r="903">
          <cell r="A903" t="str">
            <v>80781706FF1</v>
          </cell>
          <cell r="B903">
            <v>0.22</v>
          </cell>
          <cell r="C903" t="str">
            <v>70781706FM1</v>
          </cell>
          <cell r="D903">
            <v>94600</v>
          </cell>
          <cell r="E903" t="str">
            <v>23/09/2013</v>
          </cell>
        </row>
        <row r="904">
          <cell r="A904" t="str">
            <v>80781707AF1</v>
          </cell>
          <cell r="B904">
            <v>0.22</v>
          </cell>
          <cell r="C904" t="str">
            <v>70781707AM1</v>
          </cell>
          <cell r="D904">
            <v>94600</v>
          </cell>
          <cell r="E904" t="str">
            <v>23/09/2013</v>
          </cell>
        </row>
        <row r="905">
          <cell r="A905" t="str">
            <v>80782616CF1</v>
          </cell>
          <cell r="B905">
            <v>0.26</v>
          </cell>
          <cell r="C905" t="str">
            <v>70782616CM1</v>
          </cell>
          <cell r="D905">
            <v>94600</v>
          </cell>
          <cell r="E905" t="str">
            <v>23/09/2013</v>
          </cell>
        </row>
        <row r="906">
          <cell r="A906" t="str">
            <v>80783903NF1</v>
          </cell>
          <cell r="B906">
            <v>0.9</v>
          </cell>
          <cell r="C906" t="str">
            <v>70783903LM1</v>
          </cell>
          <cell r="D906">
            <v>94600</v>
          </cell>
          <cell r="E906" t="str">
            <v>23/09/2013</v>
          </cell>
        </row>
        <row r="907">
          <cell r="A907" t="str">
            <v>80783903OF1</v>
          </cell>
          <cell r="B907">
            <v>0.9</v>
          </cell>
          <cell r="C907" t="str">
            <v>70783903OM1</v>
          </cell>
          <cell r="D907">
            <v>94600</v>
          </cell>
          <cell r="E907" t="str">
            <v>23/09/2013</v>
          </cell>
        </row>
        <row r="908">
          <cell r="A908" t="str">
            <v>80783903QF1</v>
          </cell>
          <cell r="B908">
            <v>0.9</v>
          </cell>
          <cell r="C908" t="str">
            <v>70783903QM1</v>
          </cell>
          <cell r="D908">
            <v>94600</v>
          </cell>
          <cell r="E908" t="str">
            <v>23/09/2013</v>
          </cell>
        </row>
        <row r="909">
          <cell r="A909" t="str">
            <v>80784602CF1</v>
          </cell>
          <cell r="B909">
            <v>0.22</v>
          </cell>
          <cell r="C909" t="str">
            <v>70784602CM1</v>
          </cell>
          <cell r="D909">
            <v>94600</v>
          </cell>
          <cell r="E909" t="str">
            <v>23/09/2013</v>
          </cell>
        </row>
        <row r="910">
          <cell r="A910" t="str">
            <v>80785302AF1</v>
          </cell>
          <cell r="B910">
            <v>0.22</v>
          </cell>
          <cell r="C910" t="str">
            <v>70785302AM1</v>
          </cell>
          <cell r="D910">
            <v>94600</v>
          </cell>
          <cell r="E910" t="str">
            <v>23/09/2013</v>
          </cell>
        </row>
        <row r="911">
          <cell r="A911" t="str">
            <v>80785403AF1</v>
          </cell>
          <cell r="B911">
            <v>0.28999999999999998</v>
          </cell>
          <cell r="C911" t="str">
            <v>70785403AM1</v>
          </cell>
          <cell r="D911">
            <v>94600</v>
          </cell>
          <cell r="E911" t="str">
            <v>23/09/2013</v>
          </cell>
        </row>
        <row r="912">
          <cell r="A912" t="str">
            <v>80785801AF1</v>
          </cell>
          <cell r="B912">
            <v>1</v>
          </cell>
          <cell r="C912" t="str">
            <v>70785801AM1</v>
          </cell>
          <cell r="D912">
            <v>94600</v>
          </cell>
          <cell r="E912" t="str">
            <v>23/09/2013</v>
          </cell>
        </row>
        <row r="913">
          <cell r="A913" t="str">
            <v>80841601AF1</v>
          </cell>
          <cell r="B913">
            <v>0.64</v>
          </cell>
          <cell r="C913" t="str">
            <v>70841601AM1</v>
          </cell>
          <cell r="D913">
            <v>94600</v>
          </cell>
          <cell r="E913" t="str">
            <v>23/09/2013</v>
          </cell>
        </row>
        <row r="914">
          <cell r="A914" t="str">
            <v>80841701AF1</v>
          </cell>
          <cell r="B914">
            <v>0.9</v>
          </cell>
          <cell r="C914" t="str">
            <v>70841701AM1</v>
          </cell>
          <cell r="D914">
            <v>94600</v>
          </cell>
          <cell r="E914" t="str">
            <v>23/09/2013</v>
          </cell>
        </row>
        <row r="915">
          <cell r="A915" t="str">
            <v>80842301AF1</v>
          </cell>
          <cell r="B915">
            <v>0.9</v>
          </cell>
          <cell r="C915" t="str">
            <v>70842301AM1</v>
          </cell>
          <cell r="D915">
            <v>94600</v>
          </cell>
          <cell r="E915" t="str">
            <v>23/09/2013</v>
          </cell>
        </row>
        <row r="916">
          <cell r="A916" t="str">
            <v>80842401AF1</v>
          </cell>
          <cell r="B916">
            <v>0.9</v>
          </cell>
          <cell r="C916" t="str">
            <v>70842401AM1</v>
          </cell>
          <cell r="D916">
            <v>94600</v>
          </cell>
          <cell r="E916" t="str">
            <v>23/09/2013</v>
          </cell>
        </row>
        <row r="917">
          <cell r="A917" t="str">
            <v>80842501AF1</v>
          </cell>
          <cell r="B917">
            <v>0.9</v>
          </cell>
          <cell r="C917" t="str">
            <v>70842501AM1</v>
          </cell>
          <cell r="D917">
            <v>94600</v>
          </cell>
          <cell r="E917" t="str">
            <v>23/09/2013</v>
          </cell>
        </row>
        <row r="918">
          <cell r="A918" t="str">
            <v>80842501BF1</v>
          </cell>
          <cell r="B918">
            <v>0.9</v>
          </cell>
          <cell r="C918" t="str">
            <v>70842501BM1</v>
          </cell>
          <cell r="D918">
            <v>94600</v>
          </cell>
          <cell r="E918" t="str">
            <v>23/09/2013</v>
          </cell>
        </row>
        <row r="919">
          <cell r="A919" t="str">
            <v>80842601AF1</v>
          </cell>
          <cell r="B919">
            <v>0.9</v>
          </cell>
          <cell r="C919" t="str">
            <v>70842601AM1</v>
          </cell>
          <cell r="D919">
            <v>94600</v>
          </cell>
          <cell r="E919" t="str">
            <v>23/09/2013</v>
          </cell>
        </row>
        <row r="920">
          <cell r="A920" t="str">
            <v>80842601BF1</v>
          </cell>
          <cell r="B920">
            <v>0.9</v>
          </cell>
          <cell r="C920" t="str">
            <v>70842601BM1</v>
          </cell>
          <cell r="D920">
            <v>94600</v>
          </cell>
          <cell r="E920" t="str">
            <v>23/09/2013</v>
          </cell>
        </row>
        <row r="921">
          <cell r="A921" t="str">
            <v>80842602AF1</v>
          </cell>
          <cell r="B921">
            <v>0.22</v>
          </cell>
          <cell r="C921" t="str">
            <v>70842602AM1</v>
          </cell>
          <cell r="D921">
            <v>94600</v>
          </cell>
          <cell r="E921" t="str">
            <v>23/09/2013</v>
          </cell>
        </row>
        <row r="922">
          <cell r="A922" t="str">
            <v>80951702GF1</v>
          </cell>
          <cell r="B922">
            <v>0.9</v>
          </cell>
          <cell r="C922" t="str">
            <v>70951702GM1</v>
          </cell>
          <cell r="D922">
            <v>94600</v>
          </cell>
          <cell r="E922" t="str">
            <v>23/09/2013</v>
          </cell>
        </row>
        <row r="923">
          <cell r="A923" t="str">
            <v>80951703DF1</v>
          </cell>
          <cell r="B923">
            <v>1</v>
          </cell>
          <cell r="C923" t="str">
            <v>70951703DM1</v>
          </cell>
          <cell r="D923">
            <v>94600</v>
          </cell>
          <cell r="E923" t="str">
            <v>23/09/2013</v>
          </cell>
        </row>
        <row r="924">
          <cell r="A924" t="str">
            <v>80951703EF1</v>
          </cell>
          <cell r="B924">
            <v>1</v>
          </cell>
          <cell r="C924" t="str">
            <v>70951703EM1</v>
          </cell>
          <cell r="D924">
            <v>94600</v>
          </cell>
          <cell r="E924" t="str">
            <v>23/09/2013</v>
          </cell>
        </row>
        <row r="925">
          <cell r="A925" t="str">
            <v>80970801AF1</v>
          </cell>
          <cell r="B925">
            <v>0.9</v>
          </cell>
          <cell r="C925" t="str">
            <v>70970801AM1</v>
          </cell>
          <cell r="D925">
            <v>94600</v>
          </cell>
          <cell r="E925" t="str">
            <v>23/09/2013</v>
          </cell>
        </row>
        <row r="926">
          <cell r="A926" t="str">
            <v>80970801FF1</v>
          </cell>
          <cell r="B926">
            <v>0.22</v>
          </cell>
          <cell r="C926" t="str">
            <v>70970801FM1</v>
          </cell>
          <cell r="D926">
            <v>94600</v>
          </cell>
          <cell r="E926" t="str">
            <v>23/09/2013</v>
          </cell>
        </row>
        <row r="927">
          <cell r="A927" t="str">
            <v>80970804AF1</v>
          </cell>
          <cell r="B927">
            <v>0.64</v>
          </cell>
          <cell r="C927" t="str">
            <v>70970804AM1</v>
          </cell>
          <cell r="D927">
            <v>94600</v>
          </cell>
          <cell r="E927" t="str">
            <v>23/09/2013</v>
          </cell>
        </row>
        <row r="928">
          <cell r="A928" t="str">
            <v>80971801AF1</v>
          </cell>
          <cell r="B928">
            <v>1.3</v>
          </cell>
          <cell r="C928" t="str">
            <v>70971801AM1</v>
          </cell>
          <cell r="D928">
            <v>94600</v>
          </cell>
          <cell r="E928" t="str">
            <v>23/09/2013</v>
          </cell>
        </row>
        <row r="929">
          <cell r="A929" t="str">
            <v>80971801CF1</v>
          </cell>
          <cell r="B929">
            <v>1</v>
          </cell>
          <cell r="C929" t="str">
            <v>70971801CM1</v>
          </cell>
          <cell r="D929">
            <v>94600</v>
          </cell>
          <cell r="E929" t="str">
            <v>23/09/2013</v>
          </cell>
        </row>
        <row r="930">
          <cell r="A930" t="str">
            <v>80971803BF1</v>
          </cell>
          <cell r="B930">
            <v>0.64</v>
          </cell>
          <cell r="C930" t="str">
            <v>70971803BM1</v>
          </cell>
          <cell r="D930">
            <v>94600</v>
          </cell>
          <cell r="E930" t="str">
            <v>23/09/2013</v>
          </cell>
        </row>
        <row r="931">
          <cell r="A931" t="str">
            <v>80971803CF1</v>
          </cell>
          <cell r="B931">
            <v>0.22</v>
          </cell>
          <cell r="C931" t="str">
            <v>70971803CM1</v>
          </cell>
          <cell r="D931">
            <v>94600</v>
          </cell>
          <cell r="E931" t="str">
            <v>23/09/2013</v>
          </cell>
        </row>
        <row r="932">
          <cell r="A932" t="str">
            <v>80RD12101AF1</v>
          </cell>
          <cell r="B932">
            <v>3</v>
          </cell>
          <cell r="C932" t="str">
            <v>70RD12101AG1</v>
          </cell>
          <cell r="D932">
            <v>94600</v>
          </cell>
          <cell r="E932" t="str">
            <v>23/09/2013</v>
          </cell>
        </row>
        <row r="933">
          <cell r="A933" t="str">
            <v>80RD12104AF1</v>
          </cell>
          <cell r="B933">
            <v>3</v>
          </cell>
          <cell r="C933" t="str">
            <v>70RD12104AG1</v>
          </cell>
          <cell r="D933">
            <v>94600</v>
          </cell>
          <cell r="E933" t="str">
            <v>23/09/2013</v>
          </cell>
        </row>
        <row r="934">
          <cell r="A934" t="str">
            <v>81020302CF1</v>
          </cell>
          <cell r="B934">
            <v>2</v>
          </cell>
          <cell r="C934" t="str">
            <v>71020302CM1</v>
          </cell>
          <cell r="D934">
            <v>94600</v>
          </cell>
          <cell r="E934" t="str">
            <v>23/09/2013</v>
          </cell>
        </row>
        <row r="935">
          <cell r="A935" t="str">
            <v>81020302DF1</v>
          </cell>
          <cell r="B935">
            <v>0.22</v>
          </cell>
          <cell r="C935" t="str">
            <v>71020302DM1</v>
          </cell>
          <cell r="D935">
            <v>94600</v>
          </cell>
          <cell r="E935" t="str">
            <v>23/09/2013</v>
          </cell>
        </row>
        <row r="936">
          <cell r="A936" t="str">
            <v>81030101AF1</v>
          </cell>
          <cell r="B936">
            <v>0.9</v>
          </cell>
          <cell r="C936" t="str">
            <v>71030101AM1</v>
          </cell>
          <cell r="D936">
            <v>94600</v>
          </cell>
          <cell r="E936" t="str">
            <v>23/09/2013</v>
          </cell>
        </row>
        <row r="937">
          <cell r="A937" t="str">
            <v>81090301AF1</v>
          </cell>
          <cell r="B937">
            <v>0.22</v>
          </cell>
          <cell r="C937" t="str">
            <v>71090301AM1</v>
          </cell>
          <cell r="D937">
            <v>94600</v>
          </cell>
          <cell r="E937" t="str">
            <v>23/09/2013</v>
          </cell>
        </row>
        <row r="938">
          <cell r="A938" t="str">
            <v>81090401AF1</v>
          </cell>
          <cell r="B938">
            <v>1.3</v>
          </cell>
          <cell r="C938" t="str">
            <v>71090401AM1</v>
          </cell>
          <cell r="D938">
            <v>94600</v>
          </cell>
          <cell r="E938" t="str">
            <v>23/09/2013</v>
          </cell>
        </row>
        <row r="939">
          <cell r="A939" t="str">
            <v>81090402AF1</v>
          </cell>
          <cell r="B939">
            <v>0.22</v>
          </cell>
          <cell r="C939" t="str">
            <v>71090402AM1</v>
          </cell>
          <cell r="D939">
            <v>94600</v>
          </cell>
          <cell r="E939" t="str">
            <v>23/09/2013</v>
          </cell>
        </row>
        <row r="940">
          <cell r="A940" t="str">
            <v>81090402BF1</v>
          </cell>
          <cell r="B940">
            <v>1</v>
          </cell>
          <cell r="C940" t="str">
            <v>71090402BM1</v>
          </cell>
          <cell r="D940">
            <v>94600</v>
          </cell>
          <cell r="E940" t="str">
            <v>23/09/2013</v>
          </cell>
        </row>
        <row r="941">
          <cell r="A941" t="str">
            <v>81090402CF1</v>
          </cell>
          <cell r="B941">
            <v>0.22</v>
          </cell>
          <cell r="C941" t="str">
            <v>71090402CM1</v>
          </cell>
          <cell r="D941">
            <v>94600</v>
          </cell>
          <cell r="E941" t="str">
            <v>23/09/2013</v>
          </cell>
        </row>
        <row r="942">
          <cell r="A942" t="str">
            <v>81090501AF1</v>
          </cell>
          <cell r="B942">
            <v>1</v>
          </cell>
          <cell r="C942" t="str">
            <v>71090501AM1</v>
          </cell>
          <cell r="D942">
            <v>94600</v>
          </cell>
          <cell r="E942" t="str">
            <v>23/09/2013</v>
          </cell>
        </row>
        <row r="943">
          <cell r="A943" t="str">
            <v>81090501BF1</v>
          </cell>
          <cell r="B943">
            <v>0.22</v>
          </cell>
          <cell r="C943" t="str">
            <v>71090501BM1</v>
          </cell>
          <cell r="D943">
            <v>94600</v>
          </cell>
          <cell r="E943" t="str">
            <v>23/09/2013</v>
          </cell>
        </row>
        <row r="944">
          <cell r="A944" t="str">
            <v>81090501CF1</v>
          </cell>
          <cell r="B944">
            <v>0.22</v>
          </cell>
          <cell r="C944" t="str">
            <v>71090501CM1</v>
          </cell>
          <cell r="D944">
            <v>94600</v>
          </cell>
          <cell r="E944" t="str">
            <v>23/09/2013</v>
          </cell>
        </row>
        <row r="945">
          <cell r="A945" t="str">
            <v>81090601AF1</v>
          </cell>
          <cell r="B945">
            <v>0.26</v>
          </cell>
          <cell r="C945" t="str">
            <v>71090601AM1</v>
          </cell>
          <cell r="D945">
            <v>94600</v>
          </cell>
          <cell r="E945" t="str">
            <v>23/09/2013</v>
          </cell>
        </row>
        <row r="946">
          <cell r="A946" t="str">
            <v>81110102AF1</v>
          </cell>
          <cell r="B946">
            <v>1</v>
          </cell>
          <cell r="C946" t="str">
            <v>71110102AM1</v>
          </cell>
          <cell r="D946">
            <v>94600</v>
          </cell>
          <cell r="E946" t="str">
            <v>23/09/2013</v>
          </cell>
        </row>
        <row r="947">
          <cell r="A947" t="str">
            <v>81160103AF1</v>
          </cell>
          <cell r="B947">
            <v>0.26</v>
          </cell>
          <cell r="C947" t="str">
            <v>71160103AM1</v>
          </cell>
          <cell r="D947">
            <v>94600</v>
          </cell>
          <cell r="E947" t="str">
            <v>23/09/2013</v>
          </cell>
        </row>
        <row r="948">
          <cell r="A948" t="str">
            <v>81230201AF1</v>
          </cell>
          <cell r="B948">
            <v>3</v>
          </cell>
          <cell r="C948" t="str">
            <v>71230201AM1</v>
          </cell>
          <cell r="D948">
            <v>94600</v>
          </cell>
          <cell r="E948" t="str">
            <v>23/09/2013</v>
          </cell>
        </row>
        <row r="949">
          <cell r="A949" t="str">
            <v>81230202AF1</v>
          </cell>
          <cell r="B949">
            <v>3</v>
          </cell>
          <cell r="C949" t="str">
            <v>71230202AM1</v>
          </cell>
          <cell r="D949">
            <v>94600</v>
          </cell>
          <cell r="E949" t="str">
            <v>23/09/2013</v>
          </cell>
        </row>
        <row r="950">
          <cell r="A950" t="str">
            <v>81320101AF1</v>
          </cell>
          <cell r="B950">
            <v>0.26</v>
          </cell>
          <cell r="C950" t="str">
            <v>71320201AM1</v>
          </cell>
          <cell r="D950">
            <v>94600</v>
          </cell>
          <cell r="E950" t="str">
            <v>23/09/2013</v>
          </cell>
        </row>
        <row r="951">
          <cell r="A951" t="str">
            <v>81320102AF1</v>
          </cell>
          <cell r="B951">
            <v>0.26</v>
          </cell>
          <cell r="C951" t="str">
            <v>71320102AM1</v>
          </cell>
          <cell r="D951">
            <v>94600</v>
          </cell>
          <cell r="E951" t="str">
            <v>23/09/2013</v>
          </cell>
        </row>
        <row r="952">
          <cell r="A952" t="str">
            <v>81320201AF1</v>
          </cell>
          <cell r="B952">
            <v>0.26</v>
          </cell>
          <cell r="C952" t="str">
            <v>71320101AM1</v>
          </cell>
          <cell r="D952">
            <v>94600</v>
          </cell>
          <cell r="E952" t="str">
            <v>23/09/2013</v>
          </cell>
        </row>
        <row r="953">
          <cell r="A953" t="str">
            <v>81380101AF1</v>
          </cell>
          <cell r="B953">
            <v>0.26</v>
          </cell>
          <cell r="C953" t="str">
            <v>71380101AM1</v>
          </cell>
          <cell r="D953">
            <v>94600</v>
          </cell>
          <cell r="E953" t="str">
            <v>23/09/2013</v>
          </cell>
        </row>
        <row r="954">
          <cell r="A954" t="str">
            <v>81380101BF1</v>
          </cell>
          <cell r="B954">
            <v>0.26</v>
          </cell>
          <cell r="C954" t="str">
            <v>71380101BM1</v>
          </cell>
          <cell r="D954">
            <v>94600</v>
          </cell>
          <cell r="E954" t="str">
            <v>23/09/2013</v>
          </cell>
        </row>
        <row r="955">
          <cell r="A955" t="str">
            <v>81400101BF1</v>
          </cell>
          <cell r="B955">
            <v>0.22</v>
          </cell>
          <cell r="C955" t="str">
            <v>71400101BM1</v>
          </cell>
          <cell r="D955">
            <v>94600</v>
          </cell>
          <cell r="E955" t="str">
            <v>23/09/2013</v>
          </cell>
        </row>
        <row r="956">
          <cell r="A956" t="str">
            <v>8X12106AAF1</v>
          </cell>
          <cell r="B956">
            <v>0.64</v>
          </cell>
          <cell r="C956" t="str">
            <v>7X12106AAM1</v>
          </cell>
          <cell r="D956">
            <v>94600</v>
          </cell>
          <cell r="E956" t="str">
            <v>23/09/2013</v>
          </cell>
        </row>
        <row r="957">
          <cell r="A957" t="str">
            <v>8X12106JAF1</v>
          </cell>
          <cell r="B957">
            <v>0.64</v>
          </cell>
          <cell r="C957" t="str">
            <v>7X12106JAM1</v>
          </cell>
          <cell r="D957">
            <v>94600</v>
          </cell>
          <cell r="E957" t="str">
            <v>23/09/2013</v>
          </cell>
        </row>
        <row r="958">
          <cell r="A958" t="str">
            <v>8X12106KAF1</v>
          </cell>
          <cell r="B958">
            <v>0.22</v>
          </cell>
          <cell r="C958" t="str">
            <v>7X12106KAM1</v>
          </cell>
          <cell r="D958">
            <v>94600</v>
          </cell>
          <cell r="E958" t="str">
            <v>23/09/2013</v>
          </cell>
        </row>
        <row r="959">
          <cell r="A959" t="str">
            <v>8X12106LAF1</v>
          </cell>
          <cell r="B959">
            <v>1.3</v>
          </cell>
          <cell r="C959" t="str">
            <v>7X12106KAM1</v>
          </cell>
          <cell r="D959">
            <v>94600</v>
          </cell>
          <cell r="E959" t="str">
            <v>23/09/2013</v>
          </cell>
        </row>
        <row r="960">
          <cell r="A960" t="str">
            <v>8X12106MAF1</v>
          </cell>
          <cell r="B960">
            <v>1</v>
          </cell>
          <cell r="C960" t="str">
            <v>7X12106MAM1</v>
          </cell>
          <cell r="D960">
            <v>94600</v>
          </cell>
          <cell r="E960" t="str">
            <v>23/09/2013</v>
          </cell>
        </row>
        <row r="961">
          <cell r="A961" t="str">
            <v>8X12106NAF1</v>
          </cell>
          <cell r="B961">
            <v>0.22</v>
          </cell>
          <cell r="C961" t="str">
            <v>7X12106NAM1</v>
          </cell>
          <cell r="D961">
            <v>94600</v>
          </cell>
          <cell r="E961" t="str">
            <v>23/09/2013</v>
          </cell>
        </row>
        <row r="962">
          <cell r="A962" t="str">
            <v>8X12106OAF1</v>
          </cell>
          <cell r="B962">
            <v>0.22</v>
          </cell>
          <cell r="C962" t="str">
            <v>7X12106OAM1</v>
          </cell>
          <cell r="D962">
            <v>94600</v>
          </cell>
          <cell r="E962" t="str">
            <v>23/09/2013</v>
          </cell>
        </row>
        <row r="963">
          <cell r="A963" t="str">
            <v>8X12106QAF1</v>
          </cell>
          <cell r="B963">
            <v>0.22</v>
          </cell>
          <cell r="C963" t="str">
            <v>7X12106QAM1</v>
          </cell>
          <cell r="D963">
            <v>94600</v>
          </cell>
          <cell r="E963" t="str">
            <v>23/09/2013</v>
          </cell>
        </row>
        <row r="964">
          <cell r="A964" t="str">
            <v>8X12107CAF1</v>
          </cell>
          <cell r="B964">
            <v>0.64</v>
          </cell>
          <cell r="C964" t="str">
            <v>7X12107CAM1</v>
          </cell>
          <cell r="D964">
            <v>94600</v>
          </cell>
          <cell r="E964" t="str">
            <v>23/09/2013</v>
          </cell>
        </row>
        <row r="965">
          <cell r="A965" t="str">
            <v>8X12107FBF1</v>
          </cell>
          <cell r="B965">
            <v>1.54</v>
          </cell>
          <cell r="C965" t="str">
            <v>7X12107FBM1</v>
          </cell>
          <cell r="D965">
            <v>94600</v>
          </cell>
          <cell r="E965" t="str">
            <v>23/09/2013</v>
          </cell>
        </row>
        <row r="966">
          <cell r="A966" t="str">
            <v>8X12107IAF1</v>
          </cell>
          <cell r="B966">
            <v>0.64</v>
          </cell>
          <cell r="C966" t="str">
            <v>7X12107IAM1</v>
          </cell>
          <cell r="D966">
            <v>94600</v>
          </cell>
          <cell r="E966" t="str">
            <v>23/09/2013</v>
          </cell>
        </row>
        <row r="967">
          <cell r="A967" t="str">
            <v>8X12107JAF1</v>
          </cell>
          <cell r="B967">
            <v>0.22</v>
          </cell>
          <cell r="C967" t="str">
            <v>7X12107JAM1</v>
          </cell>
          <cell r="D967">
            <v>94600</v>
          </cell>
          <cell r="E967" t="str">
            <v>23/09/2013</v>
          </cell>
        </row>
        <row r="968">
          <cell r="A968" t="str">
            <v>8X12107KAF1</v>
          </cell>
          <cell r="B968">
            <v>0.9</v>
          </cell>
          <cell r="C968" t="str">
            <v>7X12107KAM1</v>
          </cell>
          <cell r="D968">
            <v>94600</v>
          </cell>
          <cell r="E968" t="str">
            <v>23/09/2013</v>
          </cell>
        </row>
        <row r="969">
          <cell r="A969" t="str">
            <v>8X12107NAF1</v>
          </cell>
          <cell r="B969">
            <v>1.3</v>
          </cell>
          <cell r="C969" t="str">
            <v>7X12107JAM1</v>
          </cell>
          <cell r="D969">
            <v>94600</v>
          </cell>
          <cell r="E969" t="str">
            <v>23/09/2013</v>
          </cell>
        </row>
        <row r="970">
          <cell r="A970" t="str">
            <v>8X12107OAF1</v>
          </cell>
          <cell r="B970">
            <v>0.22</v>
          </cell>
          <cell r="C970" t="str">
            <v>7X12107OAM1</v>
          </cell>
          <cell r="D970">
            <v>94600</v>
          </cell>
          <cell r="E970" t="str">
            <v>23/09/2013</v>
          </cell>
        </row>
        <row r="971">
          <cell r="A971" t="str">
            <v>8X12110AAF1</v>
          </cell>
          <cell r="B971">
            <v>0.64</v>
          </cell>
          <cell r="C971" t="str">
            <v>7X12110AAM1</v>
          </cell>
          <cell r="D971">
            <v>94600</v>
          </cell>
          <cell r="E971" t="str">
            <v>23/09/2013</v>
          </cell>
        </row>
        <row r="972">
          <cell r="A972" t="str">
            <v>8X12110BAF1</v>
          </cell>
          <cell r="B972">
            <v>0.64</v>
          </cell>
          <cell r="C972" t="str">
            <v>7X12110BAM1</v>
          </cell>
          <cell r="D972">
            <v>94600</v>
          </cell>
          <cell r="E972" t="str">
            <v>23/09/2013</v>
          </cell>
        </row>
        <row r="973">
          <cell r="A973" t="str">
            <v>8X12110CAF1</v>
          </cell>
          <cell r="B973">
            <v>0.9</v>
          </cell>
          <cell r="C973" t="str">
            <v>7X12110CAM1</v>
          </cell>
          <cell r="D973">
            <v>94600</v>
          </cell>
          <cell r="E973" t="str">
            <v>23/09/2013</v>
          </cell>
        </row>
        <row r="974">
          <cell r="A974" t="str">
            <v>8X12110DAF1</v>
          </cell>
          <cell r="B974">
            <v>3</v>
          </cell>
          <cell r="C974" t="str">
            <v>7X12110DAM1</v>
          </cell>
          <cell r="D974">
            <v>94600</v>
          </cell>
          <cell r="E974" t="str">
            <v>23/09/2013</v>
          </cell>
        </row>
        <row r="975">
          <cell r="A975" t="str">
            <v>8X12110EAF1</v>
          </cell>
          <cell r="B975">
            <v>0.22</v>
          </cell>
          <cell r="C975" t="str">
            <v>7X12110EAM1</v>
          </cell>
          <cell r="D975">
            <v>94600</v>
          </cell>
          <cell r="E975" t="str">
            <v>23/09/2013</v>
          </cell>
        </row>
        <row r="976">
          <cell r="A976" t="str">
            <v>8X12110GAF1</v>
          </cell>
          <cell r="B976">
            <v>1</v>
          </cell>
          <cell r="C976" t="str">
            <v>7X12110GAM1</v>
          </cell>
          <cell r="D976">
            <v>94600</v>
          </cell>
          <cell r="E976" t="str">
            <v>23/09/2013</v>
          </cell>
        </row>
        <row r="977">
          <cell r="A977" t="str">
            <v>8X12110HAF1</v>
          </cell>
          <cell r="B977">
            <v>0.22</v>
          </cell>
          <cell r="C977" t="str">
            <v>7X12110HAM1</v>
          </cell>
          <cell r="D977">
            <v>94600</v>
          </cell>
          <cell r="E977" t="str">
            <v>23/09/2013</v>
          </cell>
        </row>
        <row r="978">
          <cell r="A978" t="str">
            <v>8X12110IAF1</v>
          </cell>
          <cell r="B978">
            <v>0.22</v>
          </cell>
          <cell r="C978" t="str">
            <v>7X12110IAM1</v>
          </cell>
          <cell r="D978">
            <v>94600</v>
          </cell>
          <cell r="E978" t="str">
            <v>23/09/2013</v>
          </cell>
        </row>
        <row r="979">
          <cell r="A979" t="str">
            <v>8X12110JAF1</v>
          </cell>
          <cell r="B979">
            <v>0.22</v>
          </cell>
          <cell r="C979" t="str">
            <v>7X12110JAM1</v>
          </cell>
          <cell r="D979">
            <v>94600</v>
          </cell>
          <cell r="E979" t="str">
            <v>23/09/2013</v>
          </cell>
        </row>
        <row r="980">
          <cell r="A980" t="str">
            <v>8X12121AAF1</v>
          </cell>
          <cell r="B980">
            <v>0.22</v>
          </cell>
          <cell r="C980" t="str">
            <v>7X12121AAM1</v>
          </cell>
          <cell r="D980">
            <v>94600</v>
          </cell>
          <cell r="E980" t="str">
            <v>23/09/2013</v>
          </cell>
        </row>
        <row r="981">
          <cell r="A981" t="str">
            <v>8X12121BAF1</v>
          </cell>
          <cell r="B981">
            <v>0.22</v>
          </cell>
          <cell r="C981" t="str">
            <v>7X12121BAM1</v>
          </cell>
          <cell r="D981">
            <v>94600</v>
          </cell>
          <cell r="E981" t="str">
            <v>23/09/2013</v>
          </cell>
        </row>
        <row r="982">
          <cell r="A982" t="str">
            <v>8X12402ABF1</v>
          </cell>
          <cell r="B982">
            <v>0.64</v>
          </cell>
          <cell r="C982" t="str">
            <v>7X12402ABM1</v>
          </cell>
          <cell r="D982">
            <v>94600</v>
          </cell>
          <cell r="E982" t="str">
            <v>23/09/2013</v>
          </cell>
        </row>
        <row r="983">
          <cell r="A983" t="str">
            <v>8X12402DAF1</v>
          </cell>
          <cell r="B983">
            <v>0.22</v>
          </cell>
          <cell r="C983" t="str">
            <v>7X12402DAM1</v>
          </cell>
          <cell r="D983">
            <v>94600</v>
          </cell>
          <cell r="E983" t="str">
            <v>23/09/2013</v>
          </cell>
        </row>
        <row r="984">
          <cell r="A984" t="str">
            <v>8X12402EAF1</v>
          </cell>
          <cell r="B984">
            <v>1</v>
          </cell>
          <cell r="C984" t="str">
            <v>7X12402EAM1</v>
          </cell>
          <cell r="D984">
            <v>94600</v>
          </cell>
          <cell r="E984" t="str">
            <v>23/09/2013</v>
          </cell>
        </row>
        <row r="985">
          <cell r="A985" t="str">
            <v>8X12403AAF1</v>
          </cell>
          <cell r="B985">
            <v>0.9</v>
          </cell>
          <cell r="C985" t="str">
            <v>7X12403AAM1</v>
          </cell>
          <cell r="D985">
            <v>94600</v>
          </cell>
          <cell r="E985" t="str">
            <v>23/09/2013</v>
          </cell>
        </row>
        <row r="986">
          <cell r="A986" t="str">
            <v>8X12404AAF1</v>
          </cell>
          <cell r="B986">
            <v>0.64</v>
          </cell>
          <cell r="C986" t="str">
            <v>7X12404AAM1</v>
          </cell>
          <cell r="D986">
            <v>94600</v>
          </cell>
          <cell r="E986" t="str">
            <v>23/09/2013</v>
          </cell>
        </row>
        <row r="987">
          <cell r="A987" t="str">
            <v>8X12404BAF1</v>
          </cell>
          <cell r="B987">
            <v>0.9</v>
          </cell>
          <cell r="C987" t="str">
            <v>7X12404BAM1</v>
          </cell>
          <cell r="D987">
            <v>94600</v>
          </cell>
          <cell r="E987" t="str">
            <v>23/09/2013</v>
          </cell>
        </row>
        <row r="988">
          <cell r="A988" t="str">
            <v>8X12404CAF1</v>
          </cell>
          <cell r="B988">
            <v>0.22</v>
          </cell>
          <cell r="C988" t="str">
            <v>7X12404CAM1</v>
          </cell>
          <cell r="D988">
            <v>94600</v>
          </cell>
          <cell r="E988" t="str">
            <v>23/09/2013</v>
          </cell>
        </row>
        <row r="989">
          <cell r="A989" t="str">
            <v>8X12404DAF1</v>
          </cell>
          <cell r="B989">
            <v>0.22</v>
          </cell>
          <cell r="C989" t="str">
            <v>7X12404DAM1</v>
          </cell>
          <cell r="D989">
            <v>94600</v>
          </cell>
          <cell r="E989" t="str">
            <v>23/09/2013</v>
          </cell>
        </row>
        <row r="990">
          <cell r="A990" t="str">
            <v>8X12404EAF1</v>
          </cell>
          <cell r="B990">
            <v>0.22</v>
          </cell>
          <cell r="C990" t="str">
            <v>7X12404EAM1</v>
          </cell>
          <cell r="D990">
            <v>94600</v>
          </cell>
          <cell r="E990" t="str">
            <v>23/09/2013</v>
          </cell>
        </row>
        <row r="991">
          <cell r="A991" t="str">
            <v>8X12406AAF1</v>
          </cell>
          <cell r="B991">
            <v>0.64</v>
          </cell>
          <cell r="C991" t="str">
            <v>7X12406AAM1</v>
          </cell>
          <cell r="D991">
            <v>94600</v>
          </cell>
          <cell r="E991" t="str">
            <v>23/09/2013</v>
          </cell>
        </row>
        <row r="992">
          <cell r="A992" t="str">
            <v>8X12406BAF1</v>
          </cell>
          <cell r="B992">
            <v>0.64</v>
          </cell>
          <cell r="C992" t="str">
            <v>7X12406BAM1</v>
          </cell>
          <cell r="D992">
            <v>94600</v>
          </cell>
          <cell r="E992" t="str">
            <v>23/09/2013</v>
          </cell>
        </row>
        <row r="993">
          <cell r="A993" t="str">
            <v>8X12406CAF1</v>
          </cell>
          <cell r="B993">
            <v>0.22</v>
          </cell>
          <cell r="C993" t="str">
            <v>7X12406CAM1</v>
          </cell>
          <cell r="D993">
            <v>94600</v>
          </cell>
          <cell r="E993" t="str">
            <v>23/09/2013</v>
          </cell>
        </row>
        <row r="994">
          <cell r="A994" t="str">
            <v>8X12406DAF1</v>
          </cell>
          <cell r="B994">
            <v>0.22</v>
          </cell>
          <cell r="C994" t="str">
            <v>7X12406DAM1</v>
          </cell>
          <cell r="D994">
            <v>94600</v>
          </cell>
          <cell r="E994" t="str">
            <v>23/09/2013</v>
          </cell>
        </row>
        <row r="995">
          <cell r="A995" t="str">
            <v>8X12406GAF1</v>
          </cell>
          <cell r="B995">
            <v>0.22</v>
          </cell>
          <cell r="C995" t="str">
            <v>7X12406GAM1</v>
          </cell>
          <cell r="D995">
            <v>94600</v>
          </cell>
          <cell r="E995" t="str">
            <v>23/09/2013</v>
          </cell>
        </row>
        <row r="996">
          <cell r="A996" t="str">
            <v>8X12406HAF1</v>
          </cell>
          <cell r="B996">
            <v>0.22</v>
          </cell>
          <cell r="C996" t="str">
            <v>7X12406HAM1</v>
          </cell>
          <cell r="D996">
            <v>94600</v>
          </cell>
          <cell r="E996" t="str">
            <v>23/09/2013</v>
          </cell>
        </row>
        <row r="997">
          <cell r="A997" t="str">
            <v>8X12413AAF1</v>
          </cell>
          <cell r="B997">
            <v>0.22</v>
          </cell>
          <cell r="C997" t="str">
            <v>7X12413AAM1</v>
          </cell>
          <cell r="D997">
            <v>94600</v>
          </cell>
          <cell r="E997" t="str">
            <v>23/09/2013</v>
          </cell>
        </row>
        <row r="998">
          <cell r="A998" t="str">
            <v>8X12413CAF1</v>
          </cell>
          <cell r="B998">
            <v>0.22</v>
          </cell>
          <cell r="C998" t="str">
            <v>7X12413CAM1</v>
          </cell>
          <cell r="D998">
            <v>94600</v>
          </cell>
          <cell r="E998" t="str">
            <v>23/09/2013</v>
          </cell>
        </row>
        <row r="999">
          <cell r="A999" t="str">
            <v>8X12413DAF1</v>
          </cell>
          <cell r="B999">
            <v>0.22</v>
          </cell>
          <cell r="C999" t="str">
            <v>7X12413DAM1</v>
          </cell>
          <cell r="D999">
            <v>94600</v>
          </cell>
          <cell r="E999" t="str">
            <v>23/09/2013</v>
          </cell>
        </row>
        <row r="1000">
          <cell r="A1000" t="str">
            <v>8X12415AAF1</v>
          </cell>
          <cell r="B1000">
            <v>0.22</v>
          </cell>
          <cell r="C1000" t="str">
            <v>7X12415AAM1</v>
          </cell>
          <cell r="D1000">
            <v>94600</v>
          </cell>
          <cell r="E1000" t="str">
            <v>23/09/2013</v>
          </cell>
        </row>
        <row r="1001">
          <cell r="A1001" t="str">
            <v>8X12415BAF1</v>
          </cell>
          <cell r="B1001">
            <v>0.22</v>
          </cell>
          <cell r="C1001" t="str">
            <v>7X12415BAM1</v>
          </cell>
          <cell r="D1001">
            <v>94600</v>
          </cell>
          <cell r="E1001" t="str">
            <v>23/09/2013</v>
          </cell>
        </row>
        <row r="1002">
          <cell r="A1002" t="str">
            <v>8X12415DAF1</v>
          </cell>
          <cell r="B1002">
            <v>0.22</v>
          </cell>
          <cell r="C1002" t="str">
            <v>7X12415DAM1</v>
          </cell>
          <cell r="D1002">
            <v>94600</v>
          </cell>
          <cell r="E1002" t="str">
            <v>23/09/2013</v>
          </cell>
        </row>
        <row r="1003">
          <cell r="A1003" t="str">
            <v>8X12415EAF1</v>
          </cell>
          <cell r="B1003">
            <v>0.22</v>
          </cell>
          <cell r="C1003" t="str">
            <v>7X12415EAM1</v>
          </cell>
          <cell r="D1003">
            <v>94600</v>
          </cell>
          <cell r="E1003" t="str">
            <v>23/09/2013</v>
          </cell>
        </row>
        <row r="1004">
          <cell r="A1004" t="str">
            <v>8X12415FAF1</v>
          </cell>
          <cell r="B1004">
            <v>0.22</v>
          </cell>
          <cell r="C1004" t="str">
            <v>7X12415FAM1</v>
          </cell>
          <cell r="D1004">
            <v>94600</v>
          </cell>
          <cell r="E1004" t="str">
            <v>23/09/2013</v>
          </cell>
        </row>
        <row r="1005">
          <cell r="A1005" t="str">
            <v>8X12415ZAF1</v>
          </cell>
          <cell r="B1005">
            <v>0.22</v>
          </cell>
          <cell r="C1005" t="str">
            <v>7X12415ZAM1</v>
          </cell>
          <cell r="D1005">
            <v>94600</v>
          </cell>
          <cell r="E1005" t="str">
            <v>23/09/2013</v>
          </cell>
        </row>
        <row r="1006">
          <cell r="A1006" t="str">
            <v>8X12416AAF1</v>
          </cell>
          <cell r="B1006">
            <v>0.22</v>
          </cell>
          <cell r="C1006" t="str">
            <v>7X12416AAM1</v>
          </cell>
          <cell r="D1006">
            <v>94600</v>
          </cell>
          <cell r="E1006" t="str">
            <v>23/09/2013</v>
          </cell>
        </row>
        <row r="1007">
          <cell r="A1007" t="str">
            <v>8X12416BAF1</v>
          </cell>
          <cell r="B1007">
            <v>0.22</v>
          </cell>
          <cell r="C1007" t="str">
            <v>7X12416BAM1</v>
          </cell>
          <cell r="D1007">
            <v>94600</v>
          </cell>
          <cell r="E1007" t="str">
            <v>23/09/2013</v>
          </cell>
        </row>
        <row r="1008">
          <cell r="A1008" t="str">
            <v>8X12417AAF1</v>
          </cell>
          <cell r="B1008">
            <v>0.22</v>
          </cell>
          <cell r="C1008" t="str">
            <v>7X12417AAM1</v>
          </cell>
          <cell r="D1008">
            <v>94600</v>
          </cell>
          <cell r="E1008" t="str">
            <v>23/09/2013</v>
          </cell>
        </row>
        <row r="1009">
          <cell r="A1009" t="str">
            <v>8X12417CAF1</v>
          </cell>
          <cell r="B1009">
            <v>0.22</v>
          </cell>
          <cell r="C1009" t="str">
            <v>7X12417CAM1</v>
          </cell>
          <cell r="D1009">
            <v>94600</v>
          </cell>
          <cell r="E1009" t="str">
            <v>23/09/2013</v>
          </cell>
        </row>
        <row r="1010">
          <cell r="A1010" t="str">
            <v>8X12417DAF1</v>
          </cell>
          <cell r="B1010">
            <v>0.22</v>
          </cell>
          <cell r="C1010" t="str">
            <v>7X12417DAM1</v>
          </cell>
          <cell r="D1010">
            <v>94600</v>
          </cell>
          <cell r="E1010" t="str">
            <v>23/09/2013</v>
          </cell>
        </row>
        <row r="1011">
          <cell r="A1011" t="str">
            <v>8X12419BAF1</v>
          </cell>
          <cell r="B1011">
            <v>0.22</v>
          </cell>
          <cell r="C1011" t="str">
            <v>7X12419BAM1</v>
          </cell>
          <cell r="D1011">
            <v>94600</v>
          </cell>
          <cell r="E1011" t="str">
            <v>23/09/2013</v>
          </cell>
        </row>
        <row r="1012">
          <cell r="A1012" t="str">
            <v>8X12501AAF1</v>
          </cell>
          <cell r="B1012">
            <v>0.22</v>
          </cell>
          <cell r="C1012" t="str">
            <v>7X12501AAM1</v>
          </cell>
          <cell r="D1012">
            <v>94600</v>
          </cell>
          <cell r="E1012" t="str">
            <v>23/09/2013</v>
          </cell>
        </row>
        <row r="1013">
          <cell r="A1013" t="str">
            <v>8X13101AAF1</v>
          </cell>
          <cell r="B1013">
            <v>1</v>
          </cell>
          <cell r="C1013" t="str">
            <v>7X13101AAM1</v>
          </cell>
          <cell r="D1013">
            <v>94600</v>
          </cell>
          <cell r="E1013" t="str">
            <v>23/09/2013</v>
          </cell>
        </row>
        <row r="1014">
          <cell r="A1014" t="str">
            <v>8X13501ABF1</v>
          </cell>
          <cell r="B1014">
            <v>0.64</v>
          </cell>
          <cell r="C1014" t="str">
            <v>7X13501ABM1</v>
          </cell>
          <cell r="D1014">
            <v>94600</v>
          </cell>
          <cell r="E1014" t="str">
            <v>23/09/2013</v>
          </cell>
        </row>
        <row r="1015">
          <cell r="A1015" t="str">
            <v>8X13501CAF1</v>
          </cell>
          <cell r="B1015">
            <v>1.5</v>
          </cell>
          <cell r="C1015" t="str">
            <v>7X13501CAM1</v>
          </cell>
          <cell r="D1015">
            <v>94600</v>
          </cell>
          <cell r="E1015" t="str">
            <v>23/09/2013</v>
          </cell>
        </row>
        <row r="1016">
          <cell r="A1016" t="str">
            <v>8X13501DAF1</v>
          </cell>
          <cell r="B1016">
            <v>1.5</v>
          </cell>
          <cell r="C1016" t="str">
            <v>7X13501CAM1</v>
          </cell>
          <cell r="D1016">
            <v>94600</v>
          </cell>
          <cell r="E1016" t="str">
            <v>23/09/2013</v>
          </cell>
        </row>
        <row r="1017">
          <cell r="A1017" t="str">
            <v>8X13501EAF1</v>
          </cell>
          <cell r="B1017">
            <v>0.9</v>
          </cell>
          <cell r="C1017" t="str">
            <v>7X13501EAM1</v>
          </cell>
          <cell r="D1017">
            <v>94600</v>
          </cell>
          <cell r="E1017" t="str">
            <v>23/09/2013</v>
          </cell>
        </row>
        <row r="1018">
          <cell r="A1018" t="str">
            <v>8X13502AAF1</v>
          </cell>
          <cell r="B1018">
            <v>0.64</v>
          </cell>
          <cell r="C1018" t="str">
            <v>7X13502AAM1</v>
          </cell>
          <cell r="D1018">
            <v>94600</v>
          </cell>
          <cell r="E1018" t="str">
            <v>23/09/2013</v>
          </cell>
        </row>
        <row r="1019">
          <cell r="A1019" t="str">
            <v>8X13601AAF1</v>
          </cell>
          <cell r="B1019">
            <v>0.64</v>
          </cell>
          <cell r="C1019" t="str">
            <v>7X13601AAM1</v>
          </cell>
          <cell r="D1019">
            <v>94600</v>
          </cell>
          <cell r="E1019" t="str">
            <v>23/09/2013</v>
          </cell>
        </row>
        <row r="1020">
          <cell r="A1020" t="str">
            <v>8X13601BAF1</v>
          </cell>
          <cell r="B1020">
            <v>0.22</v>
          </cell>
          <cell r="C1020" t="str">
            <v>7X13601BAM1</v>
          </cell>
          <cell r="D1020">
            <v>94600</v>
          </cell>
          <cell r="E1020" t="str">
            <v>23/09/2013</v>
          </cell>
        </row>
        <row r="1021">
          <cell r="A1021" t="str">
            <v>8X13602AAF2</v>
          </cell>
          <cell r="B1021">
            <v>0.9</v>
          </cell>
          <cell r="C1021" t="str">
            <v>7X13602AAM2</v>
          </cell>
          <cell r="D1021">
            <v>94600</v>
          </cell>
          <cell r="E1021" t="str">
            <v>23/09/2013</v>
          </cell>
        </row>
        <row r="1022">
          <cell r="A1022" t="str">
            <v>8X13602CAF1</v>
          </cell>
          <cell r="B1022">
            <v>0.22</v>
          </cell>
          <cell r="C1022" t="str">
            <v>7X13602CAM1</v>
          </cell>
          <cell r="D1022">
            <v>94600</v>
          </cell>
          <cell r="E1022" t="str">
            <v>23/09/2013</v>
          </cell>
        </row>
        <row r="1023">
          <cell r="A1023" t="str">
            <v>8X13602EAF1</v>
          </cell>
          <cell r="B1023">
            <v>1</v>
          </cell>
          <cell r="C1023" t="str">
            <v>7X13602EAM1</v>
          </cell>
          <cell r="D1023">
            <v>94600</v>
          </cell>
          <cell r="E1023" t="str">
            <v>23/09/2013</v>
          </cell>
        </row>
        <row r="1024">
          <cell r="A1024" t="str">
            <v>8X13602GAF1</v>
          </cell>
          <cell r="B1024">
            <v>1</v>
          </cell>
          <cell r="C1024" t="str">
            <v>7X13602GAM1</v>
          </cell>
          <cell r="D1024">
            <v>94600</v>
          </cell>
          <cell r="E1024" t="str">
            <v>23/09/2013</v>
          </cell>
        </row>
        <row r="1025">
          <cell r="A1025" t="str">
            <v>8X13602IAF1</v>
          </cell>
          <cell r="B1025">
            <v>0.22</v>
          </cell>
          <cell r="C1025" t="str">
            <v>7X13602IAM1</v>
          </cell>
          <cell r="D1025">
            <v>94600</v>
          </cell>
          <cell r="E1025" t="str">
            <v>23/09/2013</v>
          </cell>
        </row>
        <row r="1026">
          <cell r="A1026" t="str">
            <v>8X13602KAF1</v>
          </cell>
          <cell r="B1026">
            <v>0.22</v>
          </cell>
          <cell r="C1026" t="str">
            <v>7X13602KAM1</v>
          </cell>
          <cell r="D1026">
            <v>94600</v>
          </cell>
          <cell r="E1026" t="str">
            <v>23/09/2013</v>
          </cell>
        </row>
        <row r="1027">
          <cell r="A1027" t="str">
            <v>8X13605AAF1</v>
          </cell>
          <cell r="B1027">
            <v>0.22</v>
          </cell>
          <cell r="C1027" t="str">
            <v>7X13605AAM1</v>
          </cell>
          <cell r="D1027">
            <v>94600</v>
          </cell>
          <cell r="E1027" t="str">
            <v>23/09/2013</v>
          </cell>
        </row>
        <row r="1028">
          <cell r="A1028" t="str">
            <v>8X13606AAF1</v>
          </cell>
          <cell r="B1028">
            <v>0.22</v>
          </cell>
          <cell r="C1028" t="str">
            <v>7X13606AAM1</v>
          </cell>
          <cell r="D1028">
            <v>94600</v>
          </cell>
          <cell r="E1028" t="str">
            <v>23/09/2013</v>
          </cell>
        </row>
        <row r="1029">
          <cell r="A1029" t="str">
            <v>8X13701CAF1</v>
          </cell>
          <cell r="B1029">
            <v>0.9</v>
          </cell>
          <cell r="C1029" t="str">
            <v>7X13701CAM1</v>
          </cell>
          <cell r="D1029">
            <v>94600</v>
          </cell>
          <cell r="E1029" t="str">
            <v>23/09/2013</v>
          </cell>
        </row>
        <row r="1030">
          <cell r="A1030" t="str">
            <v>8X13701DAF1</v>
          </cell>
          <cell r="B1030">
            <v>0.22</v>
          </cell>
          <cell r="C1030" t="str">
            <v>7X13701DAM1</v>
          </cell>
          <cell r="D1030">
            <v>94600</v>
          </cell>
          <cell r="E1030" t="str">
            <v>23/09/2013</v>
          </cell>
        </row>
        <row r="1031">
          <cell r="A1031" t="str">
            <v>8X13701DAF1-1</v>
          </cell>
          <cell r="B1031">
            <v>0.9</v>
          </cell>
          <cell r="C1031" t="str">
            <v>7X13701DAM1-1</v>
          </cell>
          <cell r="D1031">
            <v>94600</v>
          </cell>
          <cell r="E1031" t="str">
            <v>23/09/2013</v>
          </cell>
        </row>
        <row r="1032">
          <cell r="A1032" t="str">
            <v>8X13702BAF1</v>
          </cell>
          <cell r="B1032">
            <v>0.9</v>
          </cell>
          <cell r="C1032" t="str">
            <v>7X13702BAM1</v>
          </cell>
          <cell r="D1032">
            <v>94600</v>
          </cell>
          <cell r="E1032" t="str">
            <v>23/09/2013</v>
          </cell>
        </row>
        <row r="1033">
          <cell r="A1033" t="str">
            <v>8X13702DAF1</v>
          </cell>
          <cell r="B1033">
            <v>0.22</v>
          </cell>
          <cell r="C1033" t="str">
            <v>7X13702DAM1</v>
          </cell>
          <cell r="D1033">
            <v>94600</v>
          </cell>
          <cell r="E1033" t="str">
            <v>23/09/2013</v>
          </cell>
        </row>
        <row r="1034">
          <cell r="A1034" t="str">
            <v>8X13704ABF1</v>
          </cell>
          <cell r="B1034">
            <v>0.22</v>
          </cell>
          <cell r="C1034" t="str">
            <v>7X13704ABM1</v>
          </cell>
          <cell r="D1034">
            <v>94600</v>
          </cell>
          <cell r="E1034" t="str">
            <v>23/09/2013</v>
          </cell>
        </row>
        <row r="1035">
          <cell r="A1035" t="str">
            <v>8X13704CAF1</v>
          </cell>
          <cell r="B1035">
            <v>0.22</v>
          </cell>
          <cell r="C1035" t="str">
            <v>7X13704CAM1</v>
          </cell>
          <cell r="D1035">
            <v>94600</v>
          </cell>
          <cell r="E1035" t="str">
            <v>23/09/2013</v>
          </cell>
        </row>
        <row r="1036">
          <cell r="A1036" t="str">
            <v>8X13705BAF1</v>
          </cell>
          <cell r="B1036">
            <v>0.22</v>
          </cell>
          <cell r="C1036" t="str">
            <v>7X13705BAM1</v>
          </cell>
          <cell r="D1036">
            <v>94600</v>
          </cell>
          <cell r="E1036" t="str">
            <v>23/09/2013</v>
          </cell>
        </row>
        <row r="1037">
          <cell r="A1037" t="str">
            <v>8X13705DAF1</v>
          </cell>
          <cell r="B1037">
            <v>0.22</v>
          </cell>
          <cell r="C1037" t="str">
            <v>7X13705DAM1</v>
          </cell>
          <cell r="D1037">
            <v>94600</v>
          </cell>
          <cell r="E1037" t="str">
            <v>23/09/2013</v>
          </cell>
        </row>
        <row r="1038">
          <cell r="A1038" t="str">
            <v>8X13901AAF1</v>
          </cell>
          <cell r="B1038">
            <v>0.22</v>
          </cell>
          <cell r="C1038" t="str">
            <v>7X13901AAM1</v>
          </cell>
          <cell r="D1038">
            <v>94600</v>
          </cell>
          <cell r="E1038" t="str">
            <v>23/09/2013</v>
          </cell>
        </row>
        <row r="1039">
          <cell r="A1039" t="str">
            <v>8X13901CAF1</v>
          </cell>
          <cell r="B1039">
            <v>0.22</v>
          </cell>
          <cell r="C1039" t="str">
            <v>7X13901CAM1</v>
          </cell>
          <cell r="D1039">
            <v>94600</v>
          </cell>
          <cell r="E1039" t="str">
            <v>23/09/2013</v>
          </cell>
        </row>
        <row r="1040">
          <cell r="A1040" t="str">
            <v>8X13902AAF1</v>
          </cell>
          <cell r="B1040">
            <v>0.22</v>
          </cell>
          <cell r="C1040" t="str">
            <v>7X13901AAM1</v>
          </cell>
          <cell r="D1040">
            <v>94600</v>
          </cell>
          <cell r="E1040" t="str">
            <v>23/09/2013</v>
          </cell>
        </row>
        <row r="1041">
          <cell r="A1041" t="str">
            <v>8X13902BAF1</v>
          </cell>
          <cell r="B1041">
            <v>0.22</v>
          </cell>
          <cell r="C1041" t="str">
            <v>7X13902BAM1</v>
          </cell>
          <cell r="D1041">
            <v>94600</v>
          </cell>
          <cell r="E1041" t="str">
            <v>23/09/2013</v>
          </cell>
        </row>
        <row r="1042">
          <cell r="A1042" t="str">
            <v>8X16001AAF1</v>
          </cell>
          <cell r="B1042">
            <v>0.64</v>
          </cell>
          <cell r="C1042" t="str">
            <v>7X16001AAM1</v>
          </cell>
          <cell r="D1042">
            <v>94600</v>
          </cell>
          <cell r="E1042" t="str">
            <v>23/09/2013</v>
          </cell>
        </row>
        <row r="1043">
          <cell r="A1043" t="str">
            <v>8X16001DAF1</v>
          </cell>
          <cell r="B1043">
            <v>0.64</v>
          </cell>
          <cell r="C1043" t="str">
            <v>7X16001DAM1</v>
          </cell>
          <cell r="D1043">
            <v>94600</v>
          </cell>
          <cell r="E1043" t="str">
            <v>23/09/2013</v>
          </cell>
        </row>
        <row r="1044">
          <cell r="A1044" t="str">
            <v>8X16001EAF1</v>
          </cell>
          <cell r="B1044">
            <v>0.22</v>
          </cell>
          <cell r="C1044" t="str">
            <v>7X16001EAM1</v>
          </cell>
          <cell r="D1044">
            <v>94600</v>
          </cell>
          <cell r="E1044" t="str">
            <v>23/09/2013</v>
          </cell>
        </row>
        <row r="1045">
          <cell r="A1045" t="str">
            <v>8X16001FAF1</v>
          </cell>
          <cell r="B1045">
            <v>0.9</v>
          </cell>
          <cell r="C1045" t="str">
            <v>7X16001FAM1</v>
          </cell>
          <cell r="D1045">
            <v>94600</v>
          </cell>
          <cell r="E1045" t="str">
            <v>23/09/2013</v>
          </cell>
        </row>
        <row r="1046">
          <cell r="A1046" t="str">
            <v>8X16001GAF1</v>
          </cell>
          <cell r="B1046">
            <v>0.22</v>
          </cell>
          <cell r="C1046" t="str">
            <v>7X16001GAM1</v>
          </cell>
          <cell r="D1046">
            <v>94600</v>
          </cell>
          <cell r="E1046" t="str">
            <v>23/09/2013</v>
          </cell>
        </row>
        <row r="1047">
          <cell r="A1047" t="str">
            <v>8X16001HAF1</v>
          </cell>
          <cell r="B1047">
            <v>0.22</v>
          </cell>
          <cell r="C1047" t="str">
            <v>7X16001HAM1</v>
          </cell>
          <cell r="D1047">
            <v>94600</v>
          </cell>
          <cell r="E1047" t="str">
            <v>23/09/2013</v>
          </cell>
        </row>
        <row r="1048">
          <cell r="A1048" t="str">
            <v>8X16001IAF1</v>
          </cell>
          <cell r="B1048">
            <v>0.22</v>
          </cell>
          <cell r="C1048" t="str">
            <v>7X16001IAM1</v>
          </cell>
          <cell r="D1048">
            <v>94600</v>
          </cell>
          <cell r="E1048" t="str">
            <v>23/09/2013</v>
          </cell>
        </row>
        <row r="1049">
          <cell r="A1049" t="str">
            <v>8X16001KAF1</v>
          </cell>
          <cell r="B1049">
            <v>0.22</v>
          </cell>
          <cell r="C1049" t="str">
            <v>7X16001KAM1</v>
          </cell>
          <cell r="D1049">
            <v>94600</v>
          </cell>
          <cell r="E1049" t="str">
            <v>23/09/2013</v>
          </cell>
        </row>
        <row r="1050">
          <cell r="A1050" t="str">
            <v>8X16002AAF1</v>
          </cell>
          <cell r="B1050">
            <v>0.64</v>
          </cell>
          <cell r="C1050" t="str">
            <v>7X16002AAM1</v>
          </cell>
          <cell r="D1050">
            <v>94600</v>
          </cell>
          <cell r="E1050" t="str">
            <v>23/09/2013</v>
          </cell>
        </row>
        <row r="1051">
          <cell r="A1051" t="str">
            <v>8X16002BAF1</v>
          </cell>
          <cell r="B1051">
            <v>0.64</v>
          </cell>
          <cell r="C1051" t="str">
            <v>7X16002BAM1</v>
          </cell>
          <cell r="D1051">
            <v>94600</v>
          </cell>
          <cell r="E1051" t="str">
            <v>23/09/2013</v>
          </cell>
        </row>
        <row r="1052">
          <cell r="A1052" t="str">
            <v>8X16002CBF1</v>
          </cell>
          <cell r="B1052">
            <v>0.64</v>
          </cell>
          <cell r="C1052" t="str">
            <v>7X16002AAM1</v>
          </cell>
          <cell r="D1052">
            <v>94600</v>
          </cell>
          <cell r="E1052" t="str">
            <v>23/09/2013</v>
          </cell>
        </row>
        <row r="1053">
          <cell r="A1053" t="str">
            <v>8X16002EAF1</v>
          </cell>
          <cell r="B1053">
            <v>0.9</v>
          </cell>
          <cell r="C1053" t="str">
            <v>7X16002EAM1</v>
          </cell>
          <cell r="D1053">
            <v>94600</v>
          </cell>
          <cell r="E1053" t="str">
            <v>23/09/2013</v>
          </cell>
        </row>
        <row r="1054">
          <cell r="A1054" t="str">
            <v>8X16002FAF1</v>
          </cell>
          <cell r="B1054">
            <v>0.22</v>
          </cell>
          <cell r="C1054" t="str">
            <v>7X16002FAM1</v>
          </cell>
          <cell r="D1054">
            <v>94600</v>
          </cell>
          <cell r="E1054" t="str">
            <v>23/09/2013</v>
          </cell>
        </row>
        <row r="1055">
          <cell r="A1055" t="str">
            <v>8X16002GAF1</v>
          </cell>
          <cell r="B1055">
            <v>0.9</v>
          </cell>
          <cell r="C1055" t="str">
            <v>7X16002GAM1</v>
          </cell>
          <cell r="D1055">
            <v>94600</v>
          </cell>
          <cell r="E1055" t="str">
            <v>23/09/2013</v>
          </cell>
        </row>
        <row r="1056">
          <cell r="A1056" t="str">
            <v>8X16002HAF1</v>
          </cell>
          <cell r="B1056">
            <v>0.22</v>
          </cell>
          <cell r="C1056" t="str">
            <v>7X16002HAM1</v>
          </cell>
          <cell r="D1056">
            <v>94600</v>
          </cell>
          <cell r="E1056" t="str">
            <v>23/09/2013</v>
          </cell>
        </row>
        <row r="1057">
          <cell r="A1057" t="str">
            <v>8X16002IAF1</v>
          </cell>
          <cell r="B1057">
            <v>0.9</v>
          </cell>
          <cell r="C1057" t="str">
            <v>7X16002IAM1</v>
          </cell>
          <cell r="D1057">
            <v>94600</v>
          </cell>
          <cell r="E1057" t="str">
            <v>23/09/2013</v>
          </cell>
        </row>
        <row r="1058">
          <cell r="A1058" t="str">
            <v>8X16002JAF1</v>
          </cell>
          <cell r="B1058">
            <v>0.22</v>
          </cell>
          <cell r="C1058" t="str">
            <v>7X16002IAM1</v>
          </cell>
          <cell r="D1058">
            <v>94600</v>
          </cell>
          <cell r="E1058" t="str">
            <v>23/09/2013</v>
          </cell>
        </row>
        <row r="1059">
          <cell r="A1059" t="str">
            <v>8X16002LAF1</v>
          </cell>
          <cell r="B1059">
            <v>0.9</v>
          </cell>
          <cell r="C1059" t="str">
            <v>7X16002LAM1</v>
          </cell>
          <cell r="D1059">
            <v>94600</v>
          </cell>
          <cell r="E1059" t="str">
            <v>23/09/2013</v>
          </cell>
        </row>
        <row r="1060">
          <cell r="A1060" t="str">
            <v>8X16003EAF1</v>
          </cell>
          <cell r="B1060">
            <v>0.22</v>
          </cell>
          <cell r="C1060" t="str">
            <v>7X16003EAM1</v>
          </cell>
          <cell r="D1060">
            <v>94600</v>
          </cell>
          <cell r="E1060" t="str">
            <v>23/09/2013</v>
          </cell>
        </row>
        <row r="1061">
          <cell r="A1061" t="str">
            <v>8X16003FAF1</v>
          </cell>
          <cell r="B1061">
            <v>0.22</v>
          </cell>
          <cell r="C1061" t="str">
            <v>7X16003FAM1</v>
          </cell>
          <cell r="D1061">
            <v>94600</v>
          </cell>
          <cell r="E1061" t="str">
            <v>23/09/2013</v>
          </cell>
        </row>
        <row r="1062">
          <cell r="A1062" t="str">
            <v>8X16003GAF1</v>
          </cell>
          <cell r="B1062">
            <v>0.22</v>
          </cell>
          <cell r="C1062" t="str">
            <v>7X16003GAM1</v>
          </cell>
          <cell r="D1062">
            <v>94600</v>
          </cell>
          <cell r="E1062" t="str">
            <v>23/09/2013</v>
          </cell>
        </row>
        <row r="1063">
          <cell r="A1063" t="str">
            <v>8X16004AAF1</v>
          </cell>
          <cell r="B1063">
            <v>0.22</v>
          </cell>
          <cell r="C1063" t="str">
            <v>7X16004AAM1</v>
          </cell>
          <cell r="D1063">
            <v>94600</v>
          </cell>
          <cell r="E1063" t="str">
            <v>23/09/2013</v>
          </cell>
        </row>
        <row r="1064">
          <cell r="A1064" t="str">
            <v>8X16004BAF1</v>
          </cell>
          <cell r="B1064">
            <v>0.9</v>
          </cell>
          <cell r="C1064" t="str">
            <v>7X16004BAM1</v>
          </cell>
          <cell r="D1064">
            <v>94600</v>
          </cell>
          <cell r="E1064" t="str">
            <v>23/09/2013</v>
          </cell>
        </row>
        <row r="1065">
          <cell r="A1065" t="str">
            <v>8X16019AAF1</v>
          </cell>
          <cell r="B1065">
            <v>0.64</v>
          </cell>
          <cell r="C1065" t="str">
            <v>7X16019AAM1</v>
          </cell>
          <cell r="D1065">
            <v>94600</v>
          </cell>
          <cell r="E1065" t="str">
            <v>23/09/2013</v>
          </cell>
        </row>
        <row r="1066">
          <cell r="A1066" t="str">
            <v>8X16019CAF1</v>
          </cell>
          <cell r="B1066">
            <v>0.22</v>
          </cell>
          <cell r="C1066" t="str">
            <v>7X16019CAM1</v>
          </cell>
          <cell r="D1066">
            <v>94600</v>
          </cell>
          <cell r="E1066" t="str">
            <v>23/09/2013</v>
          </cell>
        </row>
        <row r="1067">
          <cell r="A1067" t="str">
            <v>8X19901ABF1</v>
          </cell>
          <cell r="B1067">
            <v>0.45</v>
          </cell>
          <cell r="C1067" t="str">
            <v>7X19901ABL1</v>
          </cell>
          <cell r="D1067">
            <v>94600</v>
          </cell>
          <cell r="E1067" t="str">
            <v>23/09/2013</v>
          </cell>
        </row>
        <row r="1068">
          <cell r="A1068" t="str">
            <v>8X19901CAF1</v>
          </cell>
          <cell r="B1068">
            <v>0.45</v>
          </cell>
          <cell r="C1068" t="str">
            <v>7X19901CAL1</v>
          </cell>
          <cell r="D1068">
            <v>94600</v>
          </cell>
          <cell r="E1068" t="str">
            <v>23/09/2013</v>
          </cell>
        </row>
        <row r="1069">
          <cell r="A1069" t="str">
            <v>8X19901IAF1</v>
          </cell>
          <cell r="B1069">
            <v>0</v>
          </cell>
          <cell r="C1069" t="str">
            <v>7X19901IAL1</v>
          </cell>
          <cell r="D1069">
            <v>94600</v>
          </cell>
          <cell r="E1069" t="str">
            <v>23/09/2013</v>
          </cell>
        </row>
        <row r="1070">
          <cell r="A1070" t="str">
            <v>8X19904AAF1</v>
          </cell>
          <cell r="B1070">
            <v>0.45</v>
          </cell>
          <cell r="C1070" t="str">
            <v>7X19904AAL1</v>
          </cell>
          <cell r="D1070">
            <v>94600</v>
          </cell>
          <cell r="E1070" t="str">
            <v>23/09/2013</v>
          </cell>
        </row>
        <row r="1071">
          <cell r="A1071" t="str">
            <v>8X19911BAF1</v>
          </cell>
          <cell r="B1071">
            <v>0.45</v>
          </cell>
          <cell r="C1071" t="str">
            <v>7X19911BAL1</v>
          </cell>
          <cell r="D1071">
            <v>94600</v>
          </cell>
          <cell r="E1071" t="str">
            <v>23/09/2013</v>
          </cell>
        </row>
        <row r="1072">
          <cell r="A1072" t="str">
            <v>8X19917AAF1</v>
          </cell>
          <cell r="B1072">
            <v>0.45</v>
          </cell>
          <cell r="C1072" t="str">
            <v>7X19917AAL1</v>
          </cell>
          <cell r="D1072">
            <v>94600</v>
          </cell>
          <cell r="E1072" t="str">
            <v>23/09/2013</v>
          </cell>
        </row>
        <row r="1073">
          <cell r="A1073" t="str">
            <v>8X21002AAF1</v>
          </cell>
          <cell r="B1073">
            <v>0.22</v>
          </cell>
          <cell r="C1073" t="str">
            <v>7X21002AAM1</v>
          </cell>
          <cell r="D1073">
            <v>94600</v>
          </cell>
          <cell r="E1073" t="str">
            <v>23/09/2013</v>
          </cell>
        </row>
        <row r="1074">
          <cell r="A1074" t="str">
            <v>8X21003AAF1</v>
          </cell>
          <cell r="B1074">
            <v>1</v>
          </cell>
          <cell r="C1074" t="str">
            <v>7X21003AAM1</v>
          </cell>
          <cell r="D1074">
            <v>94600</v>
          </cell>
          <cell r="E1074" t="str">
            <v>23/09/2013</v>
          </cell>
        </row>
        <row r="1075">
          <cell r="A1075" t="str">
            <v>8X21003ABF1</v>
          </cell>
          <cell r="B1075">
            <v>0</v>
          </cell>
          <cell r="C1075" t="str">
            <v>7X21003ABM1</v>
          </cell>
          <cell r="D1075">
            <v>94600</v>
          </cell>
          <cell r="E1075" t="str">
            <v>23/09/2013</v>
          </cell>
        </row>
        <row r="1076">
          <cell r="A1076" t="str">
            <v>8X21003BAF1</v>
          </cell>
          <cell r="B1076">
            <v>0.22</v>
          </cell>
          <cell r="C1076" t="str">
            <v>7X21003AAM1</v>
          </cell>
          <cell r="D1076">
            <v>94600</v>
          </cell>
          <cell r="E1076" t="str">
            <v>23/09/2013</v>
          </cell>
        </row>
        <row r="1077">
          <cell r="A1077" t="str">
            <v>8X21003CAF1</v>
          </cell>
          <cell r="B1077">
            <v>0.22</v>
          </cell>
          <cell r="C1077" t="str">
            <v>7X21003CAM1</v>
          </cell>
          <cell r="D1077">
            <v>94600</v>
          </cell>
          <cell r="E1077" t="str">
            <v>23/09/2013</v>
          </cell>
        </row>
        <row r="1078">
          <cell r="A1078" t="str">
            <v>8X21005AAF1</v>
          </cell>
          <cell r="B1078">
            <v>0.22</v>
          </cell>
          <cell r="C1078" t="str">
            <v>7X21005AAM1</v>
          </cell>
          <cell r="D1078">
            <v>94600</v>
          </cell>
          <cell r="E1078" t="str">
            <v>23/09/2013</v>
          </cell>
        </row>
        <row r="1079">
          <cell r="A1079" t="str">
            <v>8X22002EBF1</v>
          </cell>
          <cell r="B1079">
            <v>0.9</v>
          </cell>
          <cell r="C1079" t="str">
            <v>7X22002EBM1</v>
          </cell>
          <cell r="D1079">
            <v>94600</v>
          </cell>
          <cell r="E1079" t="str">
            <v>23/09/2013</v>
          </cell>
        </row>
        <row r="1080">
          <cell r="A1080" t="str">
            <v>8X22002JAF1</v>
          </cell>
          <cell r="B1080">
            <v>0.22</v>
          </cell>
          <cell r="C1080" t="str">
            <v>7X22002JAM1</v>
          </cell>
          <cell r="D1080">
            <v>94600</v>
          </cell>
          <cell r="E1080" t="str">
            <v>23/09/2013</v>
          </cell>
        </row>
        <row r="1081">
          <cell r="A1081" t="str">
            <v>8X22002KAF1</v>
          </cell>
          <cell r="B1081">
            <v>1</v>
          </cell>
          <cell r="C1081" t="str">
            <v>7X22002KAM1</v>
          </cell>
          <cell r="D1081">
            <v>94600</v>
          </cell>
          <cell r="E1081" t="str">
            <v>23/09/2013</v>
          </cell>
        </row>
        <row r="1082">
          <cell r="A1082" t="str">
            <v>8X22002KBF1</v>
          </cell>
          <cell r="B1082">
            <v>1</v>
          </cell>
          <cell r="C1082" t="str">
            <v>7X22002KBM1</v>
          </cell>
          <cell r="D1082">
            <v>94600</v>
          </cell>
          <cell r="E1082" t="str">
            <v>23/09/2013</v>
          </cell>
        </row>
        <row r="1083">
          <cell r="A1083" t="str">
            <v>8X23101AAF1</v>
          </cell>
          <cell r="B1083">
            <v>0.64</v>
          </cell>
          <cell r="C1083" t="str">
            <v>7X23101AAM1</v>
          </cell>
          <cell r="D1083">
            <v>94600</v>
          </cell>
          <cell r="E1083" t="str">
            <v>23/09/2013</v>
          </cell>
        </row>
        <row r="1084">
          <cell r="A1084" t="str">
            <v>8X23101EAF1</v>
          </cell>
          <cell r="B1084">
            <v>0.64</v>
          </cell>
          <cell r="C1084" t="str">
            <v>7X23101EAM1</v>
          </cell>
          <cell r="D1084">
            <v>94600</v>
          </cell>
          <cell r="E1084" t="str">
            <v>23/09/2013</v>
          </cell>
        </row>
        <row r="1085">
          <cell r="A1085" t="str">
            <v>8X23206ABF1</v>
          </cell>
          <cell r="B1085">
            <v>0.64</v>
          </cell>
          <cell r="C1085" t="str">
            <v>7X23206ABM1</v>
          </cell>
          <cell r="D1085">
            <v>94600</v>
          </cell>
          <cell r="E1085" t="str">
            <v>23/09/2013</v>
          </cell>
        </row>
        <row r="1086">
          <cell r="A1086" t="str">
            <v>8X23206DAF1</v>
          </cell>
          <cell r="B1086">
            <v>0.64</v>
          </cell>
          <cell r="C1086" t="str">
            <v>7X23206DAM1</v>
          </cell>
          <cell r="D1086">
            <v>94600</v>
          </cell>
          <cell r="E1086" t="str">
            <v>23/09/2013</v>
          </cell>
        </row>
        <row r="1087">
          <cell r="A1087" t="str">
            <v>8X23206GAF1</v>
          </cell>
          <cell r="B1087">
            <v>0.64</v>
          </cell>
          <cell r="C1087" t="str">
            <v>7X23206GAM1</v>
          </cell>
          <cell r="D1087">
            <v>94600</v>
          </cell>
          <cell r="E1087" t="str">
            <v>23/09/2013</v>
          </cell>
        </row>
        <row r="1088">
          <cell r="A1088" t="str">
            <v>8X23206HAF1</v>
          </cell>
          <cell r="B1088">
            <v>0.22</v>
          </cell>
          <cell r="C1088" t="str">
            <v>7X23206HAM1</v>
          </cell>
          <cell r="D1088">
            <v>94600</v>
          </cell>
          <cell r="E1088" t="str">
            <v>23/09/2013</v>
          </cell>
        </row>
        <row r="1089">
          <cell r="A1089" t="str">
            <v>8X23206IAF1</v>
          </cell>
          <cell r="B1089">
            <v>0.22</v>
          </cell>
          <cell r="C1089" t="str">
            <v>7X23206IAM1</v>
          </cell>
          <cell r="D1089">
            <v>94600</v>
          </cell>
          <cell r="E1089" t="str">
            <v>23/09/2013</v>
          </cell>
        </row>
        <row r="1090">
          <cell r="A1090" t="str">
            <v>8X23207ABF1</v>
          </cell>
          <cell r="B1090">
            <v>0.9</v>
          </cell>
          <cell r="C1090" t="str">
            <v>7X23207ABM1</v>
          </cell>
          <cell r="D1090">
            <v>94600</v>
          </cell>
          <cell r="E1090" t="str">
            <v>23/09/2013</v>
          </cell>
        </row>
        <row r="1091">
          <cell r="A1091" t="str">
            <v>8X23207EAF1</v>
          </cell>
          <cell r="B1091">
            <v>3</v>
          </cell>
          <cell r="C1091" t="str">
            <v>7X23207EAM1</v>
          </cell>
          <cell r="D1091">
            <v>94600</v>
          </cell>
          <cell r="E1091" t="str">
            <v>23/09/2013</v>
          </cell>
        </row>
        <row r="1092">
          <cell r="A1092" t="str">
            <v>8X23207HAF1</v>
          </cell>
          <cell r="B1092">
            <v>0.22</v>
          </cell>
          <cell r="C1092" t="str">
            <v>7X23207HAM1</v>
          </cell>
          <cell r="D1092">
            <v>94600</v>
          </cell>
          <cell r="E1092" t="str">
            <v>23/09/2013</v>
          </cell>
        </row>
        <row r="1093">
          <cell r="A1093" t="str">
            <v>8X23207KAF1</v>
          </cell>
          <cell r="B1093">
            <v>0.9</v>
          </cell>
          <cell r="C1093" t="str">
            <v>7X23207KAM1</v>
          </cell>
          <cell r="D1093">
            <v>94600</v>
          </cell>
          <cell r="E1093" t="str">
            <v>23/09/2013</v>
          </cell>
        </row>
        <row r="1094">
          <cell r="A1094" t="str">
            <v>8X23208DBF1</v>
          </cell>
          <cell r="B1094">
            <v>0.64</v>
          </cell>
          <cell r="C1094" t="str">
            <v>7X23208DBM1</v>
          </cell>
          <cell r="D1094">
            <v>94600</v>
          </cell>
          <cell r="E1094" t="str">
            <v>23/09/2013</v>
          </cell>
        </row>
        <row r="1095">
          <cell r="A1095" t="str">
            <v>8X23208EAF1</v>
          </cell>
          <cell r="B1095">
            <v>0.22</v>
          </cell>
          <cell r="C1095" t="str">
            <v>7X23208EAM1</v>
          </cell>
          <cell r="D1095">
            <v>94600</v>
          </cell>
          <cell r="E1095" t="str">
            <v>23/09/2013</v>
          </cell>
        </row>
        <row r="1096">
          <cell r="A1096" t="str">
            <v>8X23209AAF1</v>
          </cell>
          <cell r="B1096">
            <v>0.64</v>
          </cell>
          <cell r="C1096" t="str">
            <v>7X23209AAM1</v>
          </cell>
          <cell r="D1096">
            <v>94600</v>
          </cell>
          <cell r="E1096" t="str">
            <v>23/09/2013</v>
          </cell>
        </row>
        <row r="1097">
          <cell r="A1097" t="str">
            <v>8X23209KAF1</v>
          </cell>
          <cell r="B1097">
            <v>0.22</v>
          </cell>
          <cell r="C1097" t="str">
            <v>7X23209KAM1</v>
          </cell>
          <cell r="D1097">
            <v>94600</v>
          </cell>
          <cell r="E1097" t="str">
            <v>23/09/2013</v>
          </cell>
        </row>
        <row r="1098">
          <cell r="A1098" t="str">
            <v>8X23209LAF1</v>
          </cell>
          <cell r="B1098">
            <v>1.5</v>
          </cell>
          <cell r="C1098" t="str">
            <v>7X23209LAM1</v>
          </cell>
          <cell r="D1098">
            <v>94600</v>
          </cell>
          <cell r="E1098" t="str">
            <v>23/09/2013</v>
          </cell>
        </row>
        <row r="1099">
          <cell r="A1099" t="str">
            <v>8X23209NAF1</v>
          </cell>
          <cell r="B1099">
            <v>1.5</v>
          </cell>
          <cell r="C1099" t="str">
            <v>7X23209NAM1</v>
          </cell>
          <cell r="D1099">
            <v>94600</v>
          </cell>
          <cell r="E1099" t="str">
            <v>23/09/2013</v>
          </cell>
        </row>
        <row r="1100">
          <cell r="A1100" t="str">
            <v>8X23210AAF1</v>
          </cell>
          <cell r="B1100">
            <v>0.64</v>
          </cell>
          <cell r="C1100" t="str">
            <v>7X23210AAM1</v>
          </cell>
          <cell r="D1100">
            <v>94600</v>
          </cell>
          <cell r="E1100" t="str">
            <v>23/09/2013</v>
          </cell>
        </row>
        <row r="1101">
          <cell r="A1101" t="str">
            <v>8X23212DAF1</v>
          </cell>
          <cell r="B1101">
            <v>0.22</v>
          </cell>
          <cell r="C1101" t="str">
            <v>7X23212DAM1</v>
          </cell>
          <cell r="D1101">
            <v>94600</v>
          </cell>
          <cell r="E1101" t="str">
            <v>23/09/2013</v>
          </cell>
        </row>
        <row r="1102">
          <cell r="A1102" t="str">
            <v>8X23213AAF1</v>
          </cell>
          <cell r="B1102">
            <v>0.9</v>
          </cell>
          <cell r="C1102" t="str">
            <v>7X23213AAM1</v>
          </cell>
          <cell r="D1102">
            <v>94600</v>
          </cell>
          <cell r="E1102" t="str">
            <v>23/09/2013</v>
          </cell>
        </row>
        <row r="1103">
          <cell r="A1103" t="str">
            <v>8X23402AAF1</v>
          </cell>
          <cell r="B1103">
            <v>0.64</v>
          </cell>
          <cell r="C1103" t="str">
            <v>7X23402AAM1</v>
          </cell>
          <cell r="D1103">
            <v>94600</v>
          </cell>
          <cell r="E1103" t="str">
            <v>23/09/2013</v>
          </cell>
        </row>
        <row r="1104">
          <cell r="A1104" t="str">
            <v>8X24101AAF1</v>
          </cell>
          <cell r="B1104">
            <v>0.64</v>
          </cell>
          <cell r="C1104" t="str">
            <v>7X24101AAM1</v>
          </cell>
          <cell r="D1104">
            <v>94600</v>
          </cell>
          <cell r="E1104" t="str">
            <v>23/09/2013</v>
          </cell>
        </row>
        <row r="1105">
          <cell r="A1105" t="str">
            <v>8X24101BAF1</v>
          </cell>
          <cell r="B1105">
            <v>0.64</v>
          </cell>
          <cell r="C1105" t="str">
            <v>7X24101BAM1</v>
          </cell>
          <cell r="D1105">
            <v>94600</v>
          </cell>
          <cell r="E1105" t="str">
            <v>23/09/2013</v>
          </cell>
        </row>
        <row r="1106">
          <cell r="A1106" t="str">
            <v>8X24102AAF1</v>
          </cell>
          <cell r="B1106">
            <v>0.64</v>
          </cell>
          <cell r="C1106" t="str">
            <v>7X24102AAM1</v>
          </cell>
          <cell r="D1106">
            <v>94600</v>
          </cell>
          <cell r="E1106" t="str">
            <v>23/09/2013</v>
          </cell>
        </row>
        <row r="1107">
          <cell r="A1107" t="str">
            <v>8X25201AAF1</v>
          </cell>
          <cell r="B1107">
            <v>0.22</v>
          </cell>
          <cell r="C1107" t="str">
            <v>7X25201AAM1</v>
          </cell>
          <cell r="D1107">
            <v>94600</v>
          </cell>
          <cell r="E1107" t="str">
            <v>23/09/2013</v>
          </cell>
        </row>
        <row r="1108">
          <cell r="A1108" t="str">
            <v>8X31002AAF1</v>
          </cell>
          <cell r="B1108">
            <v>0.26</v>
          </cell>
          <cell r="C1108" t="str">
            <v>7X31002AAM1</v>
          </cell>
          <cell r="D1108">
            <v>94600</v>
          </cell>
          <cell r="E1108" t="str">
            <v>23/09/2013</v>
          </cell>
        </row>
        <row r="1109">
          <cell r="A1109" t="str">
            <v>8X33202BAF1</v>
          </cell>
          <cell r="B1109">
            <v>0.7</v>
          </cell>
          <cell r="C1109" t="str">
            <v>7X33202BAM1</v>
          </cell>
          <cell r="D1109">
            <v>94600</v>
          </cell>
          <cell r="E1109" t="str">
            <v>23/09/2013</v>
          </cell>
        </row>
        <row r="1110">
          <cell r="A1110" t="str">
            <v>8X33204AAF1</v>
          </cell>
          <cell r="B1110">
            <v>0.7</v>
          </cell>
          <cell r="C1110" t="str">
            <v>7X33204AAM1</v>
          </cell>
          <cell r="D1110">
            <v>94600</v>
          </cell>
          <cell r="E1110" t="str">
            <v>23/09/2013</v>
          </cell>
        </row>
        <row r="1111">
          <cell r="A1111" t="str">
            <v>8X33204CAF1</v>
          </cell>
          <cell r="B1111">
            <v>0.7</v>
          </cell>
          <cell r="C1111" t="str">
            <v>7X33204CAM1</v>
          </cell>
          <cell r="D1111">
            <v>94600</v>
          </cell>
          <cell r="E1111" t="str">
            <v>23/09/2013</v>
          </cell>
        </row>
        <row r="1112">
          <cell r="A1112" t="str">
            <v>8X33205AAF1</v>
          </cell>
          <cell r="B1112">
            <v>0.26</v>
          </cell>
          <cell r="C1112" t="str">
            <v>7X33205AAM1</v>
          </cell>
          <cell r="D1112">
            <v>94600</v>
          </cell>
          <cell r="E1112" t="str">
            <v>23/09/2013</v>
          </cell>
        </row>
        <row r="1113">
          <cell r="A1113" t="str">
            <v>8X33207AAF1</v>
          </cell>
          <cell r="B1113">
            <v>0.26</v>
          </cell>
          <cell r="C1113" t="str">
            <v>7X33207BAM1</v>
          </cell>
          <cell r="D1113">
            <v>94600</v>
          </cell>
          <cell r="E1113" t="str">
            <v>23/09/2013</v>
          </cell>
        </row>
        <row r="1114">
          <cell r="A1114" t="str">
            <v>8X33207BAF1</v>
          </cell>
          <cell r="B1114">
            <v>1</v>
          </cell>
          <cell r="C1114" t="str">
            <v>7X33207BAM1</v>
          </cell>
          <cell r="D1114">
            <v>94600</v>
          </cell>
          <cell r="E1114" t="str">
            <v>23/09/2013</v>
          </cell>
        </row>
        <row r="1115">
          <cell r="A1115" t="str">
            <v>8X33210AAF1</v>
          </cell>
          <cell r="B1115">
            <v>0.26</v>
          </cell>
          <cell r="C1115" t="str">
            <v>7X33210AAM1</v>
          </cell>
          <cell r="D1115">
            <v>94600</v>
          </cell>
          <cell r="E1115" t="str">
            <v>23/09/2013</v>
          </cell>
        </row>
        <row r="1116">
          <cell r="A1116" t="str">
            <v>8X33211AAF1</v>
          </cell>
          <cell r="B1116">
            <v>0.26</v>
          </cell>
          <cell r="C1116" t="str">
            <v>7X33211AAM1</v>
          </cell>
          <cell r="D1116">
            <v>94600</v>
          </cell>
          <cell r="E1116" t="str">
            <v>23/09/2013</v>
          </cell>
        </row>
        <row r="1117">
          <cell r="A1117" t="str">
            <v>8X33212AAF1</v>
          </cell>
          <cell r="B1117">
            <v>0.26</v>
          </cell>
          <cell r="C1117" t="str">
            <v>7X33212AAM1</v>
          </cell>
          <cell r="D1117">
            <v>94600</v>
          </cell>
          <cell r="E1117" t="str">
            <v>23/09/2013</v>
          </cell>
        </row>
        <row r="1118">
          <cell r="A1118" t="str">
            <v>8X33214AAF1</v>
          </cell>
          <cell r="B1118">
            <v>0.26</v>
          </cell>
          <cell r="C1118" t="str">
            <v>7X33214AAM1</v>
          </cell>
          <cell r="D1118">
            <v>94600</v>
          </cell>
          <cell r="E1118" t="str">
            <v>23/09/2013</v>
          </cell>
        </row>
        <row r="1119">
          <cell r="A1119" t="str">
            <v>8X33215AAF1</v>
          </cell>
          <cell r="B1119">
            <v>0.26</v>
          </cell>
          <cell r="C1119" t="str">
            <v>7X33215AAM1</v>
          </cell>
          <cell r="D1119">
            <v>94600</v>
          </cell>
          <cell r="E1119" t="str">
            <v>23/09/2013</v>
          </cell>
        </row>
        <row r="1120">
          <cell r="A1120" t="str">
            <v>8X33216AAF1</v>
          </cell>
          <cell r="B1120">
            <v>0.26</v>
          </cell>
          <cell r="C1120" t="str">
            <v>7X33216AAM1</v>
          </cell>
          <cell r="D1120">
            <v>94600</v>
          </cell>
          <cell r="E1120" t="str">
            <v>23/09/2013</v>
          </cell>
        </row>
        <row r="1121">
          <cell r="A1121" t="str">
            <v>90100202A</v>
          </cell>
          <cell r="B1121">
            <v>1.1299999999999999</v>
          </cell>
          <cell r="C1121" t="str">
            <v>80100202AF1</v>
          </cell>
          <cell r="D1121">
            <v>94600</v>
          </cell>
          <cell r="E1121" t="str">
            <v>23/09/2013</v>
          </cell>
        </row>
        <row r="1122">
          <cell r="A1122" t="str">
            <v>90100301A</v>
          </cell>
          <cell r="B1122">
            <v>2</v>
          </cell>
          <cell r="C1122" t="str">
            <v>80100301AF1</v>
          </cell>
          <cell r="D1122">
            <v>94600</v>
          </cell>
          <cell r="E1122" t="str">
            <v>23/09/2013</v>
          </cell>
        </row>
        <row r="1123">
          <cell r="A1123" t="str">
            <v>90100301B</v>
          </cell>
          <cell r="B1123">
            <v>2</v>
          </cell>
          <cell r="C1123" t="str">
            <v>80100301BF1</v>
          </cell>
          <cell r="D1123">
            <v>94600</v>
          </cell>
          <cell r="E1123" t="str">
            <v>23/09/2013</v>
          </cell>
        </row>
        <row r="1124">
          <cell r="A1124" t="str">
            <v>90100401A</v>
          </cell>
          <cell r="B1124">
            <v>2</v>
          </cell>
          <cell r="C1124" t="str">
            <v>80100401AF1</v>
          </cell>
          <cell r="D1124">
            <v>94600</v>
          </cell>
          <cell r="E1124" t="str">
            <v>23/09/2013</v>
          </cell>
        </row>
        <row r="1125">
          <cell r="A1125" t="str">
            <v>90100401B</v>
          </cell>
          <cell r="B1125">
            <v>2</v>
          </cell>
          <cell r="C1125" t="str">
            <v>80100401BF1</v>
          </cell>
          <cell r="D1125">
            <v>94600</v>
          </cell>
          <cell r="E1125" t="str">
            <v>23/09/2013</v>
          </cell>
        </row>
        <row r="1126">
          <cell r="A1126" t="str">
            <v>90100401C</v>
          </cell>
          <cell r="B1126">
            <v>2</v>
          </cell>
          <cell r="C1126" t="str">
            <v>80100401CF1</v>
          </cell>
          <cell r="D1126">
            <v>94600</v>
          </cell>
          <cell r="E1126" t="str">
            <v>23/09/2013</v>
          </cell>
        </row>
        <row r="1127">
          <cell r="A1127" t="str">
            <v>90100401D</v>
          </cell>
          <cell r="B1127">
            <v>1.3</v>
          </cell>
          <cell r="C1127" t="str">
            <v>80100401DF1</v>
          </cell>
          <cell r="D1127">
            <v>94600</v>
          </cell>
          <cell r="E1127" t="str">
            <v>23/09/2013</v>
          </cell>
        </row>
        <row r="1128">
          <cell r="A1128" t="str">
            <v>90100401E</v>
          </cell>
          <cell r="B1128">
            <v>1.1299999999999999</v>
          </cell>
          <cell r="C1128" t="str">
            <v>80100401EF1</v>
          </cell>
          <cell r="D1128">
            <v>94600</v>
          </cell>
          <cell r="E1128" t="str">
            <v>23/09/2013</v>
          </cell>
        </row>
        <row r="1129">
          <cell r="A1129" t="str">
            <v>90100401F</v>
          </cell>
          <cell r="B1129">
            <v>1.3</v>
          </cell>
          <cell r="C1129" t="str">
            <v>80100401FF1</v>
          </cell>
          <cell r="D1129">
            <v>94600</v>
          </cell>
          <cell r="E1129" t="str">
            <v>23/09/2013</v>
          </cell>
        </row>
        <row r="1130">
          <cell r="A1130" t="str">
            <v>90100601A</v>
          </cell>
          <cell r="B1130">
            <v>1.3</v>
          </cell>
          <cell r="C1130" t="str">
            <v>80100601AF1</v>
          </cell>
          <cell r="D1130">
            <v>94600</v>
          </cell>
          <cell r="E1130" t="str">
            <v>23/09/2013</v>
          </cell>
        </row>
        <row r="1131">
          <cell r="A1131" t="str">
            <v>90100601B</v>
          </cell>
          <cell r="B1131">
            <v>1.3</v>
          </cell>
          <cell r="C1131" t="str">
            <v>80100601BF1</v>
          </cell>
          <cell r="D1131">
            <v>94600</v>
          </cell>
          <cell r="E1131" t="str">
            <v>23/09/2013</v>
          </cell>
        </row>
        <row r="1132">
          <cell r="A1132" t="str">
            <v>90100601C</v>
          </cell>
          <cell r="B1132">
            <v>1.1299999999999999</v>
          </cell>
          <cell r="C1132" t="str">
            <v>80100601CF1</v>
          </cell>
          <cell r="D1132">
            <v>94600</v>
          </cell>
          <cell r="E1132" t="str">
            <v>23/09/2013</v>
          </cell>
        </row>
        <row r="1133">
          <cell r="A1133" t="str">
            <v>90101401A</v>
          </cell>
          <cell r="B1133">
            <v>2</v>
          </cell>
          <cell r="C1133" t="str">
            <v>80101401AF1</v>
          </cell>
          <cell r="D1133">
            <v>94600</v>
          </cell>
          <cell r="E1133" t="str">
            <v>23/09/2013</v>
          </cell>
        </row>
        <row r="1134">
          <cell r="A1134" t="str">
            <v>90110401A</v>
          </cell>
          <cell r="B1134">
            <v>2</v>
          </cell>
          <cell r="C1134" t="str">
            <v>80110401AF1</v>
          </cell>
          <cell r="D1134">
            <v>94600</v>
          </cell>
          <cell r="E1134" t="str">
            <v>23/09/2013</v>
          </cell>
        </row>
        <row r="1135">
          <cell r="A1135" t="str">
            <v>90110401B</v>
          </cell>
          <cell r="B1135">
            <v>1.3</v>
          </cell>
          <cell r="C1135" t="str">
            <v>80110401BF1</v>
          </cell>
          <cell r="D1135">
            <v>94600</v>
          </cell>
          <cell r="E1135" t="str">
            <v>23/09/2013</v>
          </cell>
        </row>
        <row r="1136">
          <cell r="A1136" t="str">
            <v>90110401C</v>
          </cell>
          <cell r="B1136">
            <v>1.6</v>
          </cell>
          <cell r="C1136" t="str">
            <v>80110401CF1</v>
          </cell>
          <cell r="D1136">
            <v>94600</v>
          </cell>
          <cell r="E1136" t="str">
            <v>23/09/2013</v>
          </cell>
        </row>
        <row r="1137">
          <cell r="A1137" t="str">
            <v>90110401D</v>
          </cell>
          <cell r="B1137">
            <v>1.1299999999999999</v>
          </cell>
          <cell r="C1137" t="str">
            <v>80110401DF1</v>
          </cell>
          <cell r="D1137">
            <v>94600</v>
          </cell>
          <cell r="E1137" t="str">
            <v>23/09/2013</v>
          </cell>
        </row>
        <row r="1138">
          <cell r="A1138" t="str">
            <v>90110802A</v>
          </cell>
          <cell r="B1138">
            <v>4.3099999999999996</v>
          </cell>
          <cell r="C1138" t="str">
            <v>80110802AF1</v>
          </cell>
          <cell r="D1138">
            <v>94600</v>
          </cell>
          <cell r="E1138" t="str">
            <v>23/09/2013</v>
          </cell>
        </row>
        <row r="1139">
          <cell r="A1139" t="str">
            <v>90111101A</v>
          </cell>
          <cell r="B1139">
            <v>4.3099999999999996</v>
          </cell>
          <cell r="C1139" t="str">
            <v>80111101AF1</v>
          </cell>
          <cell r="D1139">
            <v>94600</v>
          </cell>
          <cell r="E1139" t="str">
            <v>23/09/2013</v>
          </cell>
        </row>
        <row r="1140">
          <cell r="A1140" t="str">
            <v>90120702A</v>
          </cell>
          <cell r="B1140">
            <v>2</v>
          </cell>
          <cell r="C1140" t="str">
            <v>80120702AF1</v>
          </cell>
          <cell r="D1140">
            <v>94600</v>
          </cell>
          <cell r="E1140" t="str">
            <v>23/09/2013</v>
          </cell>
        </row>
        <row r="1141">
          <cell r="A1141" t="str">
            <v>90161602A</v>
          </cell>
          <cell r="B1141">
            <v>4.3099999999999996</v>
          </cell>
          <cell r="C1141" t="str">
            <v>80161602AF1</v>
          </cell>
          <cell r="D1141">
            <v>94600</v>
          </cell>
          <cell r="E1141" t="str">
            <v>23/09/2013</v>
          </cell>
        </row>
        <row r="1142">
          <cell r="A1142" t="str">
            <v>90250203D</v>
          </cell>
          <cell r="B1142">
            <v>4.3099999999999996</v>
          </cell>
          <cell r="C1142" t="str">
            <v>80250203BF1</v>
          </cell>
          <cell r="D1142">
            <v>94600</v>
          </cell>
          <cell r="E1142" t="str">
            <v>23/09/2013</v>
          </cell>
        </row>
        <row r="1143">
          <cell r="A1143" t="str">
            <v>90250301B</v>
          </cell>
          <cell r="B1143">
            <v>1.1299999999999999</v>
          </cell>
          <cell r="C1143" t="str">
            <v>80250301BF1</v>
          </cell>
          <cell r="D1143">
            <v>94600</v>
          </cell>
          <cell r="E1143" t="str">
            <v>23/09/2013</v>
          </cell>
        </row>
        <row r="1144">
          <cell r="A1144" t="str">
            <v>90250301C</v>
          </cell>
          <cell r="B1144">
            <v>1.1299999999999999</v>
          </cell>
          <cell r="C1144" t="str">
            <v>80250301CF1</v>
          </cell>
          <cell r="D1144">
            <v>94600</v>
          </cell>
          <cell r="E1144" t="str">
            <v>23/09/2013</v>
          </cell>
        </row>
        <row r="1145">
          <cell r="A1145" t="str">
            <v>90250501A</v>
          </cell>
          <cell r="B1145">
            <v>2</v>
          </cell>
          <cell r="C1145" t="str">
            <v>80250501AF1</v>
          </cell>
          <cell r="D1145">
            <v>94600</v>
          </cell>
          <cell r="E1145" t="str">
            <v>23/09/2013</v>
          </cell>
        </row>
        <row r="1146">
          <cell r="A1146" t="str">
            <v>90250502A</v>
          </cell>
          <cell r="B1146">
            <v>1.1299999999999999</v>
          </cell>
          <cell r="C1146" t="str">
            <v>80250502AF1</v>
          </cell>
          <cell r="D1146">
            <v>94600</v>
          </cell>
          <cell r="E1146" t="str">
            <v>23/09/2013</v>
          </cell>
        </row>
        <row r="1147">
          <cell r="A1147" t="str">
            <v>90261201B</v>
          </cell>
          <cell r="B1147">
            <v>1.1299999999999999</v>
          </cell>
          <cell r="C1147" t="str">
            <v>80261201BF1</v>
          </cell>
          <cell r="D1147">
            <v>94600</v>
          </cell>
          <cell r="E1147" t="str">
            <v>23/09/2013</v>
          </cell>
        </row>
        <row r="1148">
          <cell r="A1148" t="str">
            <v>90261801B</v>
          </cell>
          <cell r="B1148">
            <v>1.1299999999999999</v>
          </cell>
          <cell r="C1148" t="str">
            <v>80261801BF1</v>
          </cell>
          <cell r="D1148">
            <v>94600</v>
          </cell>
          <cell r="E1148" t="str">
            <v>23/09/2013</v>
          </cell>
        </row>
        <row r="1149">
          <cell r="A1149" t="str">
            <v>90262201A</v>
          </cell>
          <cell r="B1149">
            <v>2</v>
          </cell>
          <cell r="C1149" t="str">
            <v>80262201AF1</v>
          </cell>
          <cell r="D1149">
            <v>94600</v>
          </cell>
          <cell r="E1149" t="str">
            <v>23/09/2013</v>
          </cell>
        </row>
        <row r="1150">
          <cell r="A1150" t="str">
            <v>90262301A</v>
          </cell>
          <cell r="B1150">
            <v>1.1299999999999999</v>
          </cell>
          <cell r="C1150" t="str">
            <v>80262301AF1</v>
          </cell>
          <cell r="D1150">
            <v>94600</v>
          </cell>
          <cell r="E1150" t="str">
            <v>23/09/2013</v>
          </cell>
        </row>
        <row r="1151">
          <cell r="A1151" t="str">
            <v>90301401A</v>
          </cell>
          <cell r="B1151">
            <v>2</v>
          </cell>
          <cell r="C1151" t="str">
            <v>80301401AF1</v>
          </cell>
          <cell r="D1151">
            <v>94600</v>
          </cell>
          <cell r="E1151" t="str">
            <v>23/09/2013</v>
          </cell>
        </row>
        <row r="1152">
          <cell r="A1152" t="str">
            <v>90301403A</v>
          </cell>
          <cell r="B1152">
            <v>1.1299999999999999</v>
          </cell>
          <cell r="C1152" t="str">
            <v>80301403AF1</v>
          </cell>
          <cell r="D1152">
            <v>94600</v>
          </cell>
          <cell r="E1152" t="str">
            <v>23/09/2013</v>
          </cell>
        </row>
        <row r="1153">
          <cell r="A1153" t="str">
            <v>90301403B</v>
          </cell>
          <cell r="B1153">
            <v>1.1299999999999999</v>
          </cell>
          <cell r="C1153" t="str">
            <v>80301403AF1</v>
          </cell>
          <cell r="D1153">
            <v>94600</v>
          </cell>
          <cell r="E1153" t="str">
            <v>23/09/2013</v>
          </cell>
        </row>
        <row r="1154">
          <cell r="A1154" t="str">
            <v>90301601A</v>
          </cell>
          <cell r="B1154">
            <v>0</v>
          </cell>
          <cell r="C1154" t="str">
            <v>70301601AM1</v>
          </cell>
          <cell r="D1154">
            <v>94600</v>
          </cell>
          <cell r="E1154" t="str">
            <v>23/09/2013</v>
          </cell>
        </row>
        <row r="1155">
          <cell r="A1155" t="str">
            <v>90301601A</v>
          </cell>
          <cell r="B1155">
            <v>2</v>
          </cell>
          <cell r="C1155" t="str">
            <v>80301601AF1</v>
          </cell>
          <cell r="D1155">
            <v>43942</v>
          </cell>
          <cell r="E1155" t="str">
            <v>23/09/2013</v>
          </cell>
        </row>
        <row r="1156">
          <cell r="A1156" t="str">
            <v>90301601B</v>
          </cell>
          <cell r="B1156">
            <v>1.1299999999999999</v>
          </cell>
          <cell r="C1156" t="str">
            <v>80301601AF1</v>
          </cell>
          <cell r="D1156">
            <v>94600</v>
          </cell>
          <cell r="E1156" t="str">
            <v>23/09/2013</v>
          </cell>
        </row>
        <row r="1157">
          <cell r="A1157" t="str">
            <v>90342801A</v>
          </cell>
          <cell r="B1157">
            <v>2</v>
          </cell>
          <cell r="C1157" t="str">
            <v>80342801AF1</v>
          </cell>
          <cell r="D1157">
            <v>94600</v>
          </cell>
          <cell r="E1157" t="str">
            <v>23/09/2013</v>
          </cell>
        </row>
        <row r="1158">
          <cell r="A1158" t="str">
            <v>90342801D</v>
          </cell>
          <cell r="B1158">
            <v>2</v>
          </cell>
          <cell r="C1158" t="str">
            <v>80342801DF1</v>
          </cell>
          <cell r="D1158">
            <v>94600</v>
          </cell>
          <cell r="E1158" t="str">
            <v>23/09/2013</v>
          </cell>
        </row>
        <row r="1159">
          <cell r="A1159" t="str">
            <v>90342801I</v>
          </cell>
          <cell r="B1159">
            <v>1.1299999999999999</v>
          </cell>
          <cell r="C1159" t="str">
            <v>80342801IF1</v>
          </cell>
          <cell r="D1159">
            <v>94600</v>
          </cell>
          <cell r="E1159" t="str">
            <v>23/09/2013</v>
          </cell>
        </row>
        <row r="1160">
          <cell r="A1160" t="str">
            <v>90342901A</v>
          </cell>
          <cell r="B1160">
            <v>2</v>
          </cell>
          <cell r="C1160" t="str">
            <v>80342901AF1</v>
          </cell>
          <cell r="D1160">
            <v>94600</v>
          </cell>
          <cell r="E1160" t="str">
            <v>23/09/2013</v>
          </cell>
        </row>
        <row r="1161">
          <cell r="A1161" t="str">
            <v>90390901A</v>
          </cell>
          <cell r="B1161">
            <v>5.8</v>
          </cell>
          <cell r="C1161" t="str">
            <v>80390901AF1</v>
          </cell>
          <cell r="D1161">
            <v>94600</v>
          </cell>
          <cell r="E1161" t="str">
            <v>23/09/2013</v>
          </cell>
        </row>
        <row r="1162">
          <cell r="A1162" t="str">
            <v>90414206A</v>
          </cell>
          <cell r="B1162">
            <v>2.8</v>
          </cell>
          <cell r="C1162" t="str">
            <v>80414206AF1</v>
          </cell>
          <cell r="D1162">
            <v>94600</v>
          </cell>
          <cell r="E1162" t="str">
            <v>23/09/2013</v>
          </cell>
        </row>
        <row r="1163">
          <cell r="A1163" t="str">
            <v>90414207A</v>
          </cell>
          <cell r="B1163">
            <v>4.3099999999999996</v>
          </cell>
          <cell r="C1163" t="str">
            <v>80414207AF1</v>
          </cell>
          <cell r="D1163">
            <v>94600</v>
          </cell>
          <cell r="E1163" t="str">
            <v>23/09/2013</v>
          </cell>
        </row>
        <row r="1164">
          <cell r="A1164" t="str">
            <v>90414401A</v>
          </cell>
          <cell r="B1164">
            <v>1.1299999999999999</v>
          </cell>
          <cell r="C1164" t="str">
            <v>80414401AF1</v>
          </cell>
          <cell r="D1164">
            <v>94600</v>
          </cell>
          <cell r="E1164" t="str">
            <v>23/09/2013</v>
          </cell>
        </row>
        <row r="1165">
          <cell r="A1165" t="str">
            <v>90414401C</v>
          </cell>
          <cell r="B1165">
            <v>1.9</v>
          </cell>
          <cell r="C1165" t="str">
            <v>80414401CF1</v>
          </cell>
          <cell r="D1165">
            <v>94600</v>
          </cell>
          <cell r="E1165" t="str">
            <v>23/09/2013</v>
          </cell>
        </row>
        <row r="1166">
          <cell r="A1166" t="str">
            <v>90414401D</v>
          </cell>
          <cell r="B1166">
            <v>1.9</v>
          </cell>
          <cell r="C1166" t="str">
            <v>80414401DF1</v>
          </cell>
          <cell r="D1166">
            <v>94600</v>
          </cell>
          <cell r="E1166" t="str">
            <v>23/09/2013</v>
          </cell>
        </row>
        <row r="1167">
          <cell r="A1167" t="str">
            <v>90414401E</v>
          </cell>
          <cell r="B1167">
            <v>1.9</v>
          </cell>
          <cell r="C1167" t="str">
            <v>80414401EF1</v>
          </cell>
          <cell r="D1167">
            <v>94600</v>
          </cell>
          <cell r="E1167" t="str">
            <v>23/09/2013</v>
          </cell>
        </row>
        <row r="1168">
          <cell r="A1168" t="str">
            <v>90414401F</v>
          </cell>
          <cell r="B1168">
            <v>1.1299999999999999</v>
          </cell>
          <cell r="C1168" t="str">
            <v>80414401FF1</v>
          </cell>
          <cell r="D1168">
            <v>94600</v>
          </cell>
          <cell r="E1168" t="str">
            <v>23/09/2013</v>
          </cell>
        </row>
        <row r="1169">
          <cell r="A1169" t="str">
            <v>90414401G</v>
          </cell>
          <cell r="B1169">
            <v>1.1299999999999999</v>
          </cell>
          <cell r="C1169" t="str">
            <v>80414401GF1</v>
          </cell>
          <cell r="D1169">
            <v>94600</v>
          </cell>
          <cell r="E1169" t="str">
            <v>23/09/2013</v>
          </cell>
        </row>
        <row r="1170">
          <cell r="A1170" t="str">
            <v>90414601A</v>
          </cell>
          <cell r="B1170">
            <v>1.1299999999999999</v>
          </cell>
          <cell r="C1170" t="str">
            <v>80414601AF1</v>
          </cell>
          <cell r="D1170">
            <v>94600</v>
          </cell>
          <cell r="E1170" t="str">
            <v>23/09/2013</v>
          </cell>
        </row>
        <row r="1171">
          <cell r="A1171" t="str">
            <v>90414601B</v>
          </cell>
          <cell r="B1171">
            <v>1.1299999999999999</v>
          </cell>
          <cell r="C1171" t="str">
            <v>80414601BF1</v>
          </cell>
          <cell r="D1171">
            <v>94600</v>
          </cell>
          <cell r="E1171" t="str">
            <v>23/09/2013</v>
          </cell>
        </row>
        <row r="1172">
          <cell r="A1172" t="str">
            <v>90414601D</v>
          </cell>
          <cell r="B1172">
            <v>1.9</v>
          </cell>
          <cell r="C1172" t="str">
            <v>80414601DF1</v>
          </cell>
          <cell r="D1172">
            <v>94600</v>
          </cell>
          <cell r="E1172" t="str">
            <v>23/09/2013</v>
          </cell>
        </row>
        <row r="1173">
          <cell r="A1173" t="str">
            <v>90414601E</v>
          </cell>
          <cell r="B1173">
            <v>1.1299999999999999</v>
          </cell>
          <cell r="C1173" t="str">
            <v>80414601EF1</v>
          </cell>
          <cell r="D1173">
            <v>94600</v>
          </cell>
          <cell r="E1173" t="str">
            <v>23/09/2013</v>
          </cell>
        </row>
        <row r="1174">
          <cell r="A1174" t="str">
            <v>90430301A</v>
          </cell>
          <cell r="B1174">
            <v>1.9</v>
          </cell>
          <cell r="C1174" t="str">
            <v>80430301AF1</v>
          </cell>
          <cell r="D1174">
            <v>94600</v>
          </cell>
          <cell r="E1174" t="str">
            <v>23/09/2013</v>
          </cell>
        </row>
        <row r="1175">
          <cell r="A1175" t="str">
            <v>90492605E</v>
          </cell>
          <cell r="B1175">
            <v>2</v>
          </cell>
          <cell r="C1175" t="str">
            <v>80492605EF1</v>
          </cell>
          <cell r="D1175">
            <v>94600</v>
          </cell>
          <cell r="E1175" t="str">
            <v>23/09/2013</v>
          </cell>
        </row>
        <row r="1176">
          <cell r="A1176" t="str">
            <v>90492605F</v>
          </cell>
          <cell r="B1176">
            <v>2</v>
          </cell>
          <cell r="C1176" t="str">
            <v>80492605FF1</v>
          </cell>
          <cell r="D1176">
            <v>94600</v>
          </cell>
          <cell r="E1176" t="str">
            <v>23/09/2013</v>
          </cell>
        </row>
        <row r="1177">
          <cell r="A1177" t="str">
            <v>90492606B</v>
          </cell>
          <cell r="B1177">
            <v>2</v>
          </cell>
          <cell r="C1177" t="str">
            <v>80492606BF1</v>
          </cell>
          <cell r="D1177">
            <v>94600</v>
          </cell>
          <cell r="E1177" t="str">
            <v>23/09/2013</v>
          </cell>
        </row>
        <row r="1178">
          <cell r="A1178" t="str">
            <v>90493601G</v>
          </cell>
          <cell r="B1178">
            <v>2</v>
          </cell>
          <cell r="C1178" t="str">
            <v>80493601GF1</v>
          </cell>
          <cell r="D1178">
            <v>94600</v>
          </cell>
          <cell r="E1178" t="str">
            <v>23/09/2013</v>
          </cell>
        </row>
        <row r="1179">
          <cell r="A1179" t="str">
            <v>90493601I</v>
          </cell>
          <cell r="B1179">
            <v>2</v>
          </cell>
          <cell r="C1179" t="str">
            <v>80493601IF1</v>
          </cell>
          <cell r="D1179">
            <v>94600</v>
          </cell>
          <cell r="E1179" t="str">
            <v>23/09/2013</v>
          </cell>
        </row>
        <row r="1180">
          <cell r="A1180" t="str">
            <v>90493601J</v>
          </cell>
          <cell r="B1180">
            <v>1.1299999999999999</v>
          </cell>
          <cell r="C1180" t="str">
            <v>80493601JF1</v>
          </cell>
          <cell r="D1180">
            <v>94600</v>
          </cell>
          <cell r="E1180" t="str">
            <v>23/09/2013</v>
          </cell>
        </row>
        <row r="1181">
          <cell r="A1181" t="str">
            <v>90495204C</v>
          </cell>
          <cell r="B1181">
            <v>2</v>
          </cell>
          <cell r="C1181" t="str">
            <v>80495204CF1</v>
          </cell>
          <cell r="D1181">
            <v>94600</v>
          </cell>
          <cell r="E1181" t="str">
            <v>23/09/2013</v>
          </cell>
        </row>
        <row r="1182">
          <cell r="A1182" t="str">
            <v>90495204F</v>
          </cell>
          <cell r="B1182">
            <v>2</v>
          </cell>
          <cell r="C1182" t="str">
            <v>80495204FF1</v>
          </cell>
          <cell r="D1182">
            <v>94600</v>
          </cell>
          <cell r="E1182" t="str">
            <v>23/09/2013</v>
          </cell>
        </row>
        <row r="1183">
          <cell r="A1183" t="str">
            <v>90495206A</v>
          </cell>
          <cell r="B1183">
            <v>2</v>
          </cell>
          <cell r="C1183" t="str">
            <v>80495206AF1</v>
          </cell>
          <cell r="D1183">
            <v>94600</v>
          </cell>
          <cell r="E1183" t="str">
            <v>23/09/2013</v>
          </cell>
        </row>
        <row r="1184">
          <cell r="A1184" t="str">
            <v>90495207A</v>
          </cell>
          <cell r="B1184">
            <v>2</v>
          </cell>
          <cell r="C1184" t="str">
            <v>80495207AF1</v>
          </cell>
          <cell r="D1184">
            <v>94600</v>
          </cell>
          <cell r="E1184" t="str">
            <v>23/09/2013</v>
          </cell>
        </row>
        <row r="1185">
          <cell r="A1185" t="str">
            <v>90495208A</v>
          </cell>
          <cell r="B1185">
            <v>2</v>
          </cell>
          <cell r="C1185" t="str">
            <v>80495208AF1</v>
          </cell>
          <cell r="D1185">
            <v>94600</v>
          </cell>
          <cell r="E1185" t="str">
            <v>23/09/2013</v>
          </cell>
        </row>
        <row r="1186">
          <cell r="A1186" t="str">
            <v>90495208D</v>
          </cell>
          <cell r="B1186">
            <v>2</v>
          </cell>
          <cell r="C1186" t="str">
            <v>80495208DF1</v>
          </cell>
          <cell r="D1186">
            <v>94600</v>
          </cell>
          <cell r="E1186" t="str">
            <v>23/09/2013</v>
          </cell>
        </row>
        <row r="1187">
          <cell r="A1187" t="str">
            <v>90495209A</v>
          </cell>
          <cell r="B1187">
            <v>2</v>
          </cell>
          <cell r="C1187" t="str">
            <v>80495209AF1</v>
          </cell>
          <cell r="D1187">
            <v>94600</v>
          </cell>
          <cell r="E1187" t="str">
            <v>23/09/2013</v>
          </cell>
        </row>
        <row r="1188">
          <cell r="A1188" t="str">
            <v>90495209D</v>
          </cell>
          <cell r="B1188">
            <v>2</v>
          </cell>
          <cell r="C1188" t="str">
            <v>80495209DF1</v>
          </cell>
          <cell r="D1188">
            <v>94600</v>
          </cell>
          <cell r="E1188" t="str">
            <v>23/09/2013</v>
          </cell>
        </row>
        <row r="1189">
          <cell r="A1189" t="str">
            <v>90496505A</v>
          </cell>
          <cell r="B1189">
            <v>1.1299999999999999</v>
          </cell>
          <cell r="C1189" t="str">
            <v>80496505AF1</v>
          </cell>
          <cell r="D1189">
            <v>94600</v>
          </cell>
          <cell r="E1189" t="str">
            <v>23/09/2013</v>
          </cell>
        </row>
        <row r="1190">
          <cell r="A1190" t="str">
            <v>90496505B</v>
          </cell>
          <cell r="B1190">
            <v>2</v>
          </cell>
          <cell r="C1190" t="str">
            <v>80496505BF1</v>
          </cell>
          <cell r="D1190">
            <v>94600</v>
          </cell>
          <cell r="E1190" t="str">
            <v>23/09/2013</v>
          </cell>
        </row>
        <row r="1191">
          <cell r="A1191" t="str">
            <v>90496505D</v>
          </cell>
          <cell r="B1191">
            <v>2</v>
          </cell>
          <cell r="C1191" t="str">
            <v>80496505DF1</v>
          </cell>
          <cell r="D1191">
            <v>94600</v>
          </cell>
          <cell r="E1191" t="str">
            <v>23/09/2013</v>
          </cell>
        </row>
        <row r="1192">
          <cell r="A1192" t="str">
            <v>90496505E</v>
          </cell>
          <cell r="B1192">
            <v>1.1299999999999999</v>
          </cell>
          <cell r="C1192" t="str">
            <v>80496505EF1</v>
          </cell>
          <cell r="D1192">
            <v>94600</v>
          </cell>
          <cell r="E1192" t="str">
            <v>23/09/2013</v>
          </cell>
        </row>
        <row r="1193">
          <cell r="A1193" t="str">
            <v>90496505I</v>
          </cell>
          <cell r="B1193">
            <v>2</v>
          </cell>
          <cell r="C1193" t="str">
            <v>80496505DF1</v>
          </cell>
          <cell r="D1193">
            <v>94600</v>
          </cell>
          <cell r="E1193" t="str">
            <v>23/09/2013</v>
          </cell>
        </row>
        <row r="1194">
          <cell r="A1194" t="str">
            <v>90496701A</v>
          </cell>
          <cell r="B1194">
            <v>2</v>
          </cell>
          <cell r="C1194" t="str">
            <v>80496701AF1</v>
          </cell>
          <cell r="D1194">
            <v>94600</v>
          </cell>
          <cell r="E1194" t="str">
            <v>23/09/2013</v>
          </cell>
        </row>
        <row r="1195">
          <cell r="A1195" t="str">
            <v>90496703A</v>
          </cell>
          <cell r="B1195">
            <v>5.75</v>
          </cell>
          <cell r="C1195" t="str">
            <v>80496703AF1</v>
          </cell>
          <cell r="D1195">
            <v>94600</v>
          </cell>
          <cell r="E1195" t="str">
            <v>23/09/2013</v>
          </cell>
        </row>
        <row r="1196">
          <cell r="A1196" t="str">
            <v>90496704A</v>
          </cell>
          <cell r="B1196">
            <v>1.1299999999999999</v>
          </cell>
          <cell r="C1196" t="str">
            <v>80496704AF1</v>
          </cell>
          <cell r="D1196">
            <v>94600</v>
          </cell>
          <cell r="E1196" t="str">
            <v>23/09/2013</v>
          </cell>
        </row>
        <row r="1197">
          <cell r="A1197" t="str">
            <v>90496704C</v>
          </cell>
          <cell r="B1197">
            <v>2</v>
          </cell>
          <cell r="C1197" t="str">
            <v>80496704CF1</v>
          </cell>
          <cell r="D1197">
            <v>94600</v>
          </cell>
          <cell r="E1197" t="str">
            <v>23/09/2013</v>
          </cell>
        </row>
        <row r="1198">
          <cell r="A1198" t="str">
            <v>90496704E</v>
          </cell>
          <cell r="B1198">
            <v>2</v>
          </cell>
          <cell r="C1198" t="str">
            <v>80496704EF1</v>
          </cell>
          <cell r="D1198">
            <v>94600</v>
          </cell>
          <cell r="E1198" t="str">
            <v>23/09/2013</v>
          </cell>
        </row>
        <row r="1199">
          <cell r="A1199" t="str">
            <v>90496704G</v>
          </cell>
          <cell r="B1199">
            <v>2</v>
          </cell>
          <cell r="C1199" t="str">
            <v>80496704GF1</v>
          </cell>
          <cell r="D1199">
            <v>94600</v>
          </cell>
          <cell r="E1199" t="str">
            <v>23/09/2013</v>
          </cell>
        </row>
        <row r="1200">
          <cell r="A1200" t="str">
            <v>90496704H</v>
          </cell>
          <cell r="B1200">
            <v>2</v>
          </cell>
          <cell r="C1200" t="str">
            <v>80496704HF1</v>
          </cell>
          <cell r="D1200">
            <v>94600</v>
          </cell>
          <cell r="E1200" t="str">
            <v>23/09/2013</v>
          </cell>
        </row>
        <row r="1201">
          <cell r="A1201" t="str">
            <v>90496713A</v>
          </cell>
          <cell r="B1201">
            <v>2</v>
          </cell>
          <cell r="C1201" t="str">
            <v>80496713AF1</v>
          </cell>
          <cell r="D1201">
            <v>94600</v>
          </cell>
          <cell r="E1201" t="str">
            <v>23/09/2013</v>
          </cell>
        </row>
        <row r="1202">
          <cell r="A1202" t="str">
            <v>90497005A</v>
          </cell>
          <cell r="B1202">
            <v>4.3099999999999996</v>
          </cell>
          <cell r="C1202" t="str">
            <v>80497005AF1</v>
          </cell>
          <cell r="D1202">
            <v>94600</v>
          </cell>
          <cell r="E1202" t="str">
            <v>23/09/2013</v>
          </cell>
        </row>
        <row r="1203">
          <cell r="A1203" t="str">
            <v>90497005B</v>
          </cell>
          <cell r="B1203">
            <v>2.8</v>
          </cell>
          <cell r="C1203" t="str">
            <v>80497005BF1</v>
          </cell>
          <cell r="D1203">
            <v>94600</v>
          </cell>
          <cell r="E1203" t="str">
            <v>23/09/2013</v>
          </cell>
        </row>
        <row r="1204">
          <cell r="A1204" t="str">
            <v>90497005C</v>
          </cell>
          <cell r="B1204">
            <v>1.64</v>
          </cell>
          <cell r="C1204" t="str">
            <v>80497005CF1</v>
          </cell>
          <cell r="D1204">
            <v>94600</v>
          </cell>
          <cell r="E1204" t="str">
            <v>23/09/2013</v>
          </cell>
        </row>
        <row r="1205">
          <cell r="A1205" t="str">
            <v>90497009A</v>
          </cell>
          <cell r="B1205">
            <v>4.3099999999999996</v>
          </cell>
          <cell r="C1205" t="str">
            <v>80497009AF1</v>
          </cell>
          <cell r="D1205">
            <v>94600</v>
          </cell>
          <cell r="E1205" t="str">
            <v>23/09/2013</v>
          </cell>
        </row>
        <row r="1206">
          <cell r="A1206" t="str">
            <v>90497009B</v>
          </cell>
          <cell r="B1206">
            <v>4.3099999999999996</v>
          </cell>
          <cell r="C1206" t="str">
            <v>80497009BF1</v>
          </cell>
          <cell r="D1206">
            <v>94600</v>
          </cell>
          <cell r="E1206" t="str">
            <v>23/09/2013</v>
          </cell>
        </row>
        <row r="1207">
          <cell r="A1207" t="str">
            <v>90497501A</v>
          </cell>
          <cell r="B1207">
            <v>1.1299999999999999</v>
          </cell>
          <cell r="C1207" t="str">
            <v>80497501AF1</v>
          </cell>
          <cell r="D1207">
            <v>94600</v>
          </cell>
          <cell r="E1207" t="str">
            <v>23/09/2013</v>
          </cell>
        </row>
        <row r="1208">
          <cell r="A1208" t="str">
            <v>90497501D</v>
          </cell>
          <cell r="B1208">
            <v>1.1299999999999999</v>
          </cell>
          <cell r="C1208" t="str">
            <v>80497501DF1</v>
          </cell>
          <cell r="D1208">
            <v>94600</v>
          </cell>
          <cell r="E1208" t="str">
            <v>23/09/2013</v>
          </cell>
        </row>
        <row r="1209">
          <cell r="A1209" t="str">
            <v>90497602A</v>
          </cell>
          <cell r="B1209">
            <v>4.3099999999999996</v>
          </cell>
          <cell r="C1209" t="str">
            <v>80497602AF1</v>
          </cell>
          <cell r="D1209">
            <v>94600</v>
          </cell>
          <cell r="E1209" t="str">
            <v>23/09/2013</v>
          </cell>
        </row>
        <row r="1210">
          <cell r="A1210" t="str">
            <v>90497603A</v>
          </cell>
          <cell r="B1210">
            <v>4.3099999999999996</v>
          </cell>
          <cell r="C1210" t="str">
            <v>80497603AF1</v>
          </cell>
          <cell r="D1210">
            <v>94600</v>
          </cell>
          <cell r="E1210" t="str">
            <v>23/09/2013</v>
          </cell>
        </row>
        <row r="1211">
          <cell r="A1211" t="str">
            <v>90498801A</v>
          </cell>
          <cell r="B1211">
            <v>1.1299999999999999</v>
          </cell>
          <cell r="C1211" t="str">
            <v>80498801AF1</v>
          </cell>
          <cell r="D1211">
            <v>94600</v>
          </cell>
          <cell r="E1211" t="str">
            <v>23/09/2013</v>
          </cell>
        </row>
        <row r="1212">
          <cell r="A1212" t="str">
            <v>90498801B</v>
          </cell>
          <cell r="B1212">
            <v>1.1299999999999999</v>
          </cell>
          <cell r="C1212" t="str">
            <v>80498801BF1</v>
          </cell>
          <cell r="D1212">
            <v>94600</v>
          </cell>
          <cell r="E1212" t="str">
            <v>23/09/2013</v>
          </cell>
        </row>
        <row r="1213">
          <cell r="A1213" t="str">
            <v>90498801C</v>
          </cell>
          <cell r="B1213">
            <v>2</v>
          </cell>
          <cell r="C1213" t="str">
            <v>80498801CF1</v>
          </cell>
          <cell r="D1213">
            <v>94600</v>
          </cell>
          <cell r="E1213" t="str">
            <v>23/09/2013</v>
          </cell>
        </row>
        <row r="1214">
          <cell r="A1214" t="str">
            <v>90498802A</v>
          </cell>
          <cell r="B1214">
            <v>2</v>
          </cell>
          <cell r="C1214" t="str">
            <v>80498802AF1</v>
          </cell>
          <cell r="D1214">
            <v>94600</v>
          </cell>
          <cell r="E1214" t="str">
            <v>23/09/2013</v>
          </cell>
        </row>
        <row r="1215">
          <cell r="A1215" t="str">
            <v>90498802B</v>
          </cell>
          <cell r="B1215">
            <v>2</v>
          </cell>
          <cell r="C1215" t="str">
            <v>80498802BF1</v>
          </cell>
          <cell r="D1215">
            <v>94600</v>
          </cell>
          <cell r="E1215" t="str">
            <v>23/09/2013</v>
          </cell>
        </row>
        <row r="1216">
          <cell r="A1216" t="str">
            <v>90498803A</v>
          </cell>
          <cell r="B1216">
            <v>1.1299999999999999</v>
          </cell>
          <cell r="C1216" t="str">
            <v>80498803AF1</v>
          </cell>
          <cell r="D1216">
            <v>94600</v>
          </cell>
          <cell r="E1216" t="str">
            <v>23/09/2013</v>
          </cell>
        </row>
        <row r="1217">
          <cell r="A1217" t="str">
            <v>90641610B</v>
          </cell>
          <cell r="B1217">
            <v>2</v>
          </cell>
          <cell r="C1217" t="str">
            <v>80641610BF1</v>
          </cell>
          <cell r="D1217">
            <v>94600</v>
          </cell>
          <cell r="E1217" t="str">
            <v>23/09/2013</v>
          </cell>
        </row>
        <row r="1218">
          <cell r="A1218" t="str">
            <v>90641610F</v>
          </cell>
          <cell r="B1218">
            <v>2</v>
          </cell>
          <cell r="C1218" t="str">
            <v>80641610FF1</v>
          </cell>
          <cell r="D1218">
            <v>94600</v>
          </cell>
          <cell r="E1218" t="str">
            <v>23/09/2013</v>
          </cell>
        </row>
        <row r="1219">
          <cell r="A1219" t="str">
            <v>90641610H</v>
          </cell>
          <cell r="B1219">
            <v>1.1299999999999999</v>
          </cell>
          <cell r="C1219" t="str">
            <v>80641610HF1</v>
          </cell>
          <cell r="D1219">
            <v>94600</v>
          </cell>
          <cell r="E1219" t="str">
            <v>23/09/2013</v>
          </cell>
        </row>
        <row r="1220">
          <cell r="A1220" t="str">
            <v>90641610I</v>
          </cell>
          <cell r="B1220">
            <v>1.9</v>
          </cell>
          <cell r="C1220" t="str">
            <v>80641610IF1</v>
          </cell>
          <cell r="D1220">
            <v>94600</v>
          </cell>
          <cell r="E1220" t="str">
            <v>23/09/2013</v>
          </cell>
        </row>
        <row r="1221">
          <cell r="A1221" t="str">
            <v>90641610J</v>
          </cell>
          <cell r="B1221">
            <v>1.3</v>
          </cell>
          <cell r="C1221" t="str">
            <v>80641610JF1</v>
          </cell>
          <cell r="D1221">
            <v>94600</v>
          </cell>
          <cell r="E1221" t="str">
            <v>23/09/2013</v>
          </cell>
        </row>
        <row r="1222">
          <cell r="A1222" t="str">
            <v>90642006A</v>
          </cell>
          <cell r="B1222">
            <v>2</v>
          </cell>
          <cell r="C1222" t="str">
            <v>80642006AF1</v>
          </cell>
          <cell r="D1222">
            <v>94600</v>
          </cell>
          <cell r="E1222" t="str">
            <v>23/09/2013</v>
          </cell>
        </row>
        <row r="1223">
          <cell r="A1223" t="str">
            <v>90642006E</v>
          </cell>
          <cell r="B1223">
            <v>2</v>
          </cell>
          <cell r="C1223" t="str">
            <v>80642006EF1</v>
          </cell>
          <cell r="D1223">
            <v>94600</v>
          </cell>
          <cell r="E1223" t="str">
            <v>23/09/2013</v>
          </cell>
        </row>
        <row r="1224">
          <cell r="A1224" t="str">
            <v>90642304A</v>
          </cell>
          <cell r="B1224">
            <v>2</v>
          </cell>
          <cell r="C1224" t="str">
            <v>80642304AF1</v>
          </cell>
          <cell r="D1224">
            <v>94600</v>
          </cell>
          <cell r="E1224" t="str">
            <v>23/09/2013</v>
          </cell>
        </row>
        <row r="1225">
          <cell r="A1225" t="str">
            <v>90642304J</v>
          </cell>
          <cell r="B1225">
            <v>2</v>
          </cell>
          <cell r="C1225" t="str">
            <v>80642304JF1</v>
          </cell>
          <cell r="D1225">
            <v>94600</v>
          </cell>
          <cell r="E1225" t="str">
            <v>23/09/2013</v>
          </cell>
        </row>
        <row r="1226">
          <cell r="A1226" t="str">
            <v>90642310A</v>
          </cell>
          <cell r="B1226">
            <v>3.1</v>
          </cell>
          <cell r="C1226" t="str">
            <v>80642310AF1</v>
          </cell>
          <cell r="D1226">
            <v>94600</v>
          </cell>
          <cell r="E1226" t="str">
            <v>23/09/2013</v>
          </cell>
        </row>
        <row r="1227">
          <cell r="A1227" t="str">
            <v>90642901C</v>
          </cell>
          <cell r="B1227">
            <v>1.1299999999999999</v>
          </cell>
          <cell r="C1227" t="str">
            <v>80642901CF1</v>
          </cell>
          <cell r="D1227">
            <v>94600</v>
          </cell>
          <cell r="E1227" t="str">
            <v>23/09/2013</v>
          </cell>
        </row>
        <row r="1228">
          <cell r="A1228" t="str">
            <v>90645001A</v>
          </cell>
          <cell r="B1228">
            <v>2</v>
          </cell>
          <cell r="C1228" t="str">
            <v>80645001AF1</v>
          </cell>
          <cell r="D1228">
            <v>94600</v>
          </cell>
          <cell r="E1228" t="str">
            <v>23/09/2013</v>
          </cell>
        </row>
        <row r="1229">
          <cell r="A1229" t="str">
            <v>90645301A</v>
          </cell>
          <cell r="B1229">
            <v>1.9</v>
          </cell>
          <cell r="C1229" t="str">
            <v>80645301AF1</v>
          </cell>
          <cell r="D1229">
            <v>94600</v>
          </cell>
          <cell r="E1229" t="str">
            <v>23/09/2013</v>
          </cell>
        </row>
        <row r="1230">
          <cell r="A1230" t="str">
            <v>90645302A</v>
          </cell>
          <cell r="B1230">
            <v>1.1299999999999999</v>
          </cell>
          <cell r="C1230" t="str">
            <v>80645302AF1</v>
          </cell>
          <cell r="D1230">
            <v>94600</v>
          </cell>
          <cell r="E1230" t="str">
            <v>23/09/2013</v>
          </cell>
        </row>
        <row r="1231">
          <cell r="A1231" t="str">
            <v>90662401B</v>
          </cell>
          <cell r="B1231">
            <v>2</v>
          </cell>
          <cell r="C1231" t="str">
            <v>80662401BF1</v>
          </cell>
          <cell r="D1231">
            <v>94600</v>
          </cell>
          <cell r="E1231" t="str">
            <v>23/09/2013</v>
          </cell>
        </row>
        <row r="1232">
          <cell r="A1232" t="str">
            <v>90662401P</v>
          </cell>
          <cell r="B1232">
            <v>2</v>
          </cell>
          <cell r="C1232" t="str">
            <v>80662401PF1</v>
          </cell>
          <cell r="D1232">
            <v>94600</v>
          </cell>
          <cell r="E1232" t="str">
            <v>23/09/2013</v>
          </cell>
        </row>
        <row r="1233">
          <cell r="A1233" t="str">
            <v>90690801A</v>
          </cell>
          <cell r="B1233">
            <v>1.3</v>
          </cell>
          <cell r="C1233" t="str">
            <v>80690801AF2</v>
          </cell>
          <cell r="D1233">
            <v>94600</v>
          </cell>
          <cell r="E1233" t="str">
            <v>23/09/2013</v>
          </cell>
        </row>
        <row r="1234">
          <cell r="A1234" t="str">
            <v>90690801B</v>
          </cell>
          <cell r="B1234">
            <v>1.3</v>
          </cell>
          <cell r="C1234" t="str">
            <v>80690801BF1</v>
          </cell>
          <cell r="D1234">
            <v>94600</v>
          </cell>
          <cell r="E1234" t="str">
            <v>23/09/2013</v>
          </cell>
        </row>
        <row r="1235">
          <cell r="A1235" t="str">
            <v>90690801C</v>
          </cell>
          <cell r="B1235">
            <v>1.1299999999999999</v>
          </cell>
          <cell r="C1235" t="str">
            <v>80690801CF1</v>
          </cell>
          <cell r="D1235">
            <v>94600</v>
          </cell>
          <cell r="E1235" t="str">
            <v>23/09/2013</v>
          </cell>
        </row>
        <row r="1236">
          <cell r="A1236" t="str">
            <v>90720105C</v>
          </cell>
          <cell r="B1236">
            <v>2</v>
          </cell>
          <cell r="C1236" t="str">
            <v>80720105CF1</v>
          </cell>
          <cell r="D1236">
            <v>94600</v>
          </cell>
          <cell r="E1236" t="str">
            <v>23/09/2013</v>
          </cell>
        </row>
        <row r="1237">
          <cell r="A1237" t="str">
            <v>90720105E</v>
          </cell>
          <cell r="B1237">
            <v>2</v>
          </cell>
          <cell r="C1237" t="str">
            <v>80720105EF1</v>
          </cell>
          <cell r="D1237">
            <v>94600</v>
          </cell>
          <cell r="E1237" t="str">
            <v>23/09/2013</v>
          </cell>
        </row>
        <row r="1238">
          <cell r="A1238" t="str">
            <v>90720302A</v>
          </cell>
          <cell r="B1238">
            <v>1.1299999999999999</v>
          </cell>
          <cell r="C1238" t="str">
            <v>80720302AF1</v>
          </cell>
          <cell r="D1238">
            <v>94600</v>
          </cell>
          <cell r="E1238" t="str">
            <v>23/09/2013</v>
          </cell>
        </row>
        <row r="1239">
          <cell r="A1239" t="str">
            <v>90722903A</v>
          </cell>
          <cell r="B1239">
            <v>2</v>
          </cell>
          <cell r="C1239" t="str">
            <v>80722903AF1</v>
          </cell>
          <cell r="D1239">
            <v>94600</v>
          </cell>
          <cell r="E1239" t="str">
            <v>23/09/2013</v>
          </cell>
        </row>
        <row r="1240">
          <cell r="A1240" t="str">
            <v>90722903C</v>
          </cell>
          <cell r="B1240">
            <v>1.9</v>
          </cell>
          <cell r="C1240" t="str">
            <v>80722903CF1</v>
          </cell>
          <cell r="D1240">
            <v>94600</v>
          </cell>
          <cell r="E1240" t="str">
            <v>23/09/2013</v>
          </cell>
        </row>
        <row r="1241">
          <cell r="A1241" t="str">
            <v>90722903E</v>
          </cell>
          <cell r="B1241">
            <v>1.1299999999999999</v>
          </cell>
          <cell r="C1241" t="str">
            <v>80722903EF1</v>
          </cell>
          <cell r="D1241">
            <v>94600</v>
          </cell>
          <cell r="E1241" t="str">
            <v>23/09/2013</v>
          </cell>
        </row>
        <row r="1242">
          <cell r="A1242" t="str">
            <v>90722903H</v>
          </cell>
          <cell r="B1242">
            <v>2</v>
          </cell>
          <cell r="C1242" t="str">
            <v>80722903HF1</v>
          </cell>
          <cell r="D1242">
            <v>94600</v>
          </cell>
          <cell r="E1242" t="str">
            <v>23/09/2013</v>
          </cell>
        </row>
        <row r="1243">
          <cell r="A1243" t="str">
            <v>90723003A</v>
          </cell>
          <cell r="B1243">
            <v>5.8</v>
          </cell>
          <cell r="C1243" t="str">
            <v>80723003AF1</v>
          </cell>
          <cell r="D1243">
            <v>94600</v>
          </cell>
          <cell r="E1243" t="str">
            <v>23/09/2013</v>
          </cell>
        </row>
        <row r="1244">
          <cell r="A1244" t="str">
            <v>90723003D</v>
          </cell>
          <cell r="B1244">
            <v>5.8</v>
          </cell>
          <cell r="C1244" t="str">
            <v>80723003DF1</v>
          </cell>
          <cell r="D1244">
            <v>94600</v>
          </cell>
          <cell r="E1244" t="str">
            <v>23/09/2013</v>
          </cell>
        </row>
        <row r="1245">
          <cell r="A1245" t="str">
            <v>90723003E</v>
          </cell>
          <cell r="B1245">
            <v>4.3099999999999996</v>
          </cell>
          <cell r="C1245" t="str">
            <v>80723003EF1</v>
          </cell>
          <cell r="D1245">
            <v>94600</v>
          </cell>
          <cell r="E1245" t="str">
            <v>23/09/2013</v>
          </cell>
        </row>
        <row r="1246">
          <cell r="A1246" t="str">
            <v>90723003F</v>
          </cell>
          <cell r="B1246">
            <v>4.3099999999999996</v>
          </cell>
          <cell r="C1246" t="str">
            <v>80723003FF1</v>
          </cell>
          <cell r="D1246">
            <v>94600</v>
          </cell>
          <cell r="E1246" t="str">
            <v>23/09/2013</v>
          </cell>
        </row>
        <row r="1247">
          <cell r="A1247" t="str">
            <v>90723003G</v>
          </cell>
          <cell r="B1247">
            <v>1.64</v>
          </cell>
          <cell r="C1247" t="str">
            <v>80723003GF1</v>
          </cell>
          <cell r="D1247">
            <v>94600</v>
          </cell>
          <cell r="E1247" t="str">
            <v>23/09/2013</v>
          </cell>
        </row>
        <row r="1248">
          <cell r="A1248" t="str">
            <v>90723003I</v>
          </cell>
          <cell r="B1248">
            <v>1.64</v>
          </cell>
          <cell r="C1248" t="str">
            <v>80723003IF1</v>
          </cell>
          <cell r="D1248">
            <v>94600</v>
          </cell>
          <cell r="E1248" t="str">
            <v>23/09/2013</v>
          </cell>
        </row>
        <row r="1249">
          <cell r="A1249" t="str">
            <v>90723004A</v>
          </cell>
          <cell r="B1249">
            <v>5.8</v>
          </cell>
          <cell r="C1249" t="str">
            <v>80723004AF1</v>
          </cell>
          <cell r="D1249">
            <v>94600</v>
          </cell>
          <cell r="E1249" t="str">
            <v>23/09/2013</v>
          </cell>
        </row>
        <row r="1250">
          <cell r="A1250" t="str">
            <v>90723201A</v>
          </cell>
          <cell r="B1250">
            <v>1.1299999999999999</v>
          </cell>
          <cell r="C1250" t="str">
            <v>80723201AF1</v>
          </cell>
          <cell r="D1250">
            <v>94600</v>
          </cell>
          <cell r="E1250" t="str">
            <v>23/09/2013</v>
          </cell>
        </row>
        <row r="1251">
          <cell r="A1251" t="str">
            <v>90781204A</v>
          </cell>
          <cell r="B1251">
            <v>2</v>
          </cell>
          <cell r="C1251" t="str">
            <v>80781204AF1</v>
          </cell>
          <cell r="D1251">
            <v>94600</v>
          </cell>
          <cell r="E1251" t="str">
            <v>23/09/2013</v>
          </cell>
        </row>
        <row r="1252">
          <cell r="A1252" t="str">
            <v>90781204B</v>
          </cell>
          <cell r="B1252">
            <v>1.1299999999999999</v>
          </cell>
          <cell r="C1252" t="str">
            <v>80781204BF1</v>
          </cell>
          <cell r="D1252">
            <v>94600</v>
          </cell>
          <cell r="E1252" t="str">
            <v>23/09/2013</v>
          </cell>
        </row>
        <row r="1253">
          <cell r="A1253" t="str">
            <v>90781204C</v>
          </cell>
          <cell r="B1253">
            <v>1.1299999999999999</v>
          </cell>
          <cell r="C1253" t="str">
            <v>80781204CF1</v>
          </cell>
          <cell r="D1253">
            <v>94600</v>
          </cell>
          <cell r="E1253" t="str">
            <v>23/09/2013</v>
          </cell>
        </row>
        <row r="1254">
          <cell r="A1254" t="str">
            <v>90781704B</v>
          </cell>
          <cell r="B1254">
            <v>1.1299999999999999</v>
          </cell>
          <cell r="C1254" t="str">
            <v>80781704BF1</v>
          </cell>
          <cell r="D1254">
            <v>94600</v>
          </cell>
          <cell r="E1254" t="str">
            <v>23/09/2013</v>
          </cell>
        </row>
        <row r="1255">
          <cell r="A1255" t="str">
            <v>90781704C</v>
          </cell>
          <cell r="B1255">
            <v>2</v>
          </cell>
          <cell r="C1255" t="str">
            <v>80781704CF1</v>
          </cell>
          <cell r="D1255">
            <v>94600</v>
          </cell>
          <cell r="E1255" t="str">
            <v>23/09/2013</v>
          </cell>
        </row>
        <row r="1256">
          <cell r="A1256" t="str">
            <v>90781704G</v>
          </cell>
          <cell r="B1256">
            <v>1.1299999999999999</v>
          </cell>
          <cell r="C1256" t="str">
            <v>80781704GF1</v>
          </cell>
          <cell r="D1256">
            <v>94600</v>
          </cell>
          <cell r="E1256" t="str">
            <v>23/09/2013</v>
          </cell>
        </row>
        <row r="1257">
          <cell r="A1257" t="str">
            <v>90781706A</v>
          </cell>
          <cell r="B1257">
            <v>0</v>
          </cell>
          <cell r="C1257" t="str">
            <v>80781706AF1</v>
          </cell>
          <cell r="D1257">
            <v>94600</v>
          </cell>
          <cell r="E1257" t="str">
            <v>23/09/2013</v>
          </cell>
        </row>
        <row r="1258">
          <cell r="A1258" t="str">
            <v>90781706C</v>
          </cell>
          <cell r="B1258">
            <v>1.1299999999999999</v>
          </cell>
          <cell r="C1258" t="str">
            <v>80781706CF1</v>
          </cell>
          <cell r="D1258">
            <v>94600</v>
          </cell>
          <cell r="E1258" t="str">
            <v>23/09/2013</v>
          </cell>
        </row>
        <row r="1259">
          <cell r="A1259" t="str">
            <v>90781706F</v>
          </cell>
          <cell r="B1259">
            <v>1.1299999999999999</v>
          </cell>
          <cell r="C1259" t="str">
            <v>80781706FF1</v>
          </cell>
          <cell r="D1259">
            <v>94600</v>
          </cell>
          <cell r="E1259" t="str">
            <v>23/09/2013</v>
          </cell>
        </row>
        <row r="1260">
          <cell r="A1260" t="str">
            <v>90781707A</v>
          </cell>
          <cell r="B1260">
            <v>1.1299999999999999</v>
          </cell>
          <cell r="C1260" t="str">
            <v>80781707AF1</v>
          </cell>
          <cell r="D1260">
            <v>94600</v>
          </cell>
          <cell r="E1260" t="str">
            <v>23/09/2013</v>
          </cell>
        </row>
        <row r="1261">
          <cell r="A1261" t="str">
            <v>90782616C</v>
          </cell>
          <cell r="B1261">
            <v>4.3099999999999996</v>
          </cell>
          <cell r="C1261" t="str">
            <v>80782616CF1</v>
          </cell>
          <cell r="D1261">
            <v>94600</v>
          </cell>
          <cell r="E1261" t="str">
            <v>23/09/2013</v>
          </cell>
        </row>
        <row r="1262">
          <cell r="A1262" t="str">
            <v>90783903N</v>
          </cell>
          <cell r="B1262">
            <v>1.3</v>
          </cell>
          <cell r="C1262" t="str">
            <v>80783903NF1</v>
          </cell>
          <cell r="D1262">
            <v>94600</v>
          </cell>
          <cell r="E1262" t="str">
            <v>23/09/2013</v>
          </cell>
        </row>
        <row r="1263">
          <cell r="A1263" t="str">
            <v>90783903O</v>
          </cell>
          <cell r="B1263">
            <v>1.3</v>
          </cell>
          <cell r="C1263" t="str">
            <v>80783903OF1</v>
          </cell>
          <cell r="D1263">
            <v>94600</v>
          </cell>
          <cell r="E1263" t="str">
            <v>23/09/2013</v>
          </cell>
        </row>
        <row r="1264">
          <cell r="A1264" t="str">
            <v>90783903Q</v>
          </cell>
          <cell r="B1264">
            <v>1.3</v>
          </cell>
          <cell r="C1264" t="str">
            <v>80783903QF1</v>
          </cell>
          <cell r="D1264">
            <v>94600</v>
          </cell>
          <cell r="E1264" t="str">
            <v>23/09/2013</v>
          </cell>
        </row>
        <row r="1265">
          <cell r="A1265" t="str">
            <v>90784602C</v>
          </cell>
          <cell r="B1265">
            <v>1.1299999999999999</v>
          </cell>
          <cell r="C1265" t="str">
            <v>80784602CF1</v>
          </cell>
          <cell r="D1265">
            <v>94600</v>
          </cell>
          <cell r="E1265" t="str">
            <v>23/09/2013</v>
          </cell>
        </row>
        <row r="1266">
          <cell r="A1266" t="str">
            <v>90785302A</v>
          </cell>
          <cell r="B1266">
            <v>1.1299999999999999</v>
          </cell>
          <cell r="C1266" t="str">
            <v>80785302AF1</v>
          </cell>
          <cell r="D1266">
            <v>94600</v>
          </cell>
          <cell r="E1266" t="str">
            <v>23/09/2013</v>
          </cell>
        </row>
        <row r="1267">
          <cell r="A1267" t="str">
            <v>90785403A</v>
          </cell>
          <cell r="B1267">
            <v>2</v>
          </cell>
          <cell r="C1267" t="str">
            <v>80785403AF1</v>
          </cell>
          <cell r="D1267">
            <v>94600</v>
          </cell>
          <cell r="E1267" t="str">
            <v>23/09/2013</v>
          </cell>
        </row>
        <row r="1268">
          <cell r="A1268" t="str">
            <v>90785801A</v>
          </cell>
          <cell r="B1268">
            <v>2</v>
          </cell>
          <cell r="C1268" t="str">
            <v>80785801AF1</v>
          </cell>
          <cell r="D1268">
            <v>94600</v>
          </cell>
          <cell r="E1268" t="str">
            <v>23/09/2013</v>
          </cell>
        </row>
        <row r="1269">
          <cell r="A1269" t="str">
            <v>90841601A</v>
          </cell>
          <cell r="B1269">
            <v>2</v>
          </cell>
          <cell r="C1269" t="str">
            <v>80841601AF1</v>
          </cell>
          <cell r="D1269">
            <v>94600</v>
          </cell>
          <cell r="E1269" t="str">
            <v>23/09/2013</v>
          </cell>
        </row>
        <row r="1270">
          <cell r="A1270" t="str">
            <v>90841701A</v>
          </cell>
          <cell r="B1270">
            <v>2</v>
          </cell>
          <cell r="C1270" t="str">
            <v>80841701AF1</v>
          </cell>
          <cell r="D1270">
            <v>94600</v>
          </cell>
          <cell r="E1270" t="str">
            <v>23/09/2013</v>
          </cell>
        </row>
        <row r="1271">
          <cell r="A1271" t="str">
            <v>90842301A</v>
          </cell>
          <cell r="B1271">
            <v>1.9</v>
          </cell>
          <cell r="C1271" t="str">
            <v>80842301AF1</v>
          </cell>
          <cell r="D1271">
            <v>94600</v>
          </cell>
          <cell r="E1271" t="str">
            <v>23/09/2013</v>
          </cell>
        </row>
        <row r="1272">
          <cell r="A1272" t="str">
            <v>90842401A</v>
          </cell>
          <cell r="B1272">
            <v>1.9</v>
          </cell>
          <cell r="C1272" t="str">
            <v>80842401AF1</v>
          </cell>
          <cell r="D1272">
            <v>94600</v>
          </cell>
          <cell r="E1272" t="str">
            <v>23/09/2013</v>
          </cell>
        </row>
        <row r="1273">
          <cell r="A1273" t="str">
            <v>90842501A</v>
          </cell>
          <cell r="B1273">
            <v>1.9</v>
          </cell>
          <cell r="C1273" t="str">
            <v>80842501AF1</v>
          </cell>
          <cell r="D1273">
            <v>94600</v>
          </cell>
          <cell r="E1273" t="str">
            <v>23/09/2013</v>
          </cell>
        </row>
        <row r="1274">
          <cell r="A1274" t="str">
            <v>90842501B</v>
          </cell>
          <cell r="B1274">
            <v>1.9</v>
          </cell>
          <cell r="C1274" t="str">
            <v>80842501BF1</v>
          </cell>
          <cell r="D1274">
            <v>94600</v>
          </cell>
          <cell r="E1274" t="str">
            <v>23/09/2013</v>
          </cell>
        </row>
        <row r="1275">
          <cell r="A1275" t="str">
            <v>90842601A</v>
          </cell>
          <cell r="B1275">
            <v>1.9</v>
          </cell>
          <cell r="C1275" t="str">
            <v>80842601AF1</v>
          </cell>
          <cell r="D1275">
            <v>94600</v>
          </cell>
          <cell r="E1275" t="str">
            <v>23/09/2013</v>
          </cell>
        </row>
        <row r="1276">
          <cell r="A1276" t="str">
            <v>90842601B</v>
          </cell>
          <cell r="B1276">
            <v>1.3</v>
          </cell>
          <cell r="C1276" t="str">
            <v>80842601BF1</v>
          </cell>
          <cell r="D1276">
            <v>94600</v>
          </cell>
          <cell r="E1276" t="str">
            <v>23/09/2013</v>
          </cell>
        </row>
        <row r="1277">
          <cell r="A1277" t="str">
            <v>90842602A</v>
          </cell>
          <cell r="B1277">
            <v>1.1299999999999999</v>
          </cell>
          <cell r="C1277" t="str">
            <v>80842602AF1</v>
          </cell>
          <cell r="D1277">
            <v>94600</v>
          </cell>
          <cell r="E1277" t="str">
            <v>23/09/2013</v>
          </cell>
        </row>
        <row r="1278">
          <cell r="A1278" t="str">
            <v>90951702G</v>
          </cell>
          <cell r="B1278">
            <v>2</v>
          </cell>
          <cell r="C1278" t="str">
            <v>80951702GF1</v>
          </cell>
          <cell r="D1278">
            <v>94600</v>
          </cell>
          <cell r="E1278" t="str">
            <v>23/09/2013</v>
          </cell>
        </row>
        <row r="1279">
          <cell r="A1279" t="str">
            <v>90951703D</v>
          </cell>
          <cell r="B1279">
            <v>1.3</v>
          </cell>
          <cell r="C1279" t="str">
            <v>80951703DF1</v>
          </cell>
          <cell r="D1279">
            <v>94600</v>
          </cell>
          <cell r="E1279" t="str">
            <v>23/09/2013</v>
          </cell>
        </row>
        <row r="1280">
          <cell r="A1280" t="str">
            <v>90951703E</v>
          </cell>
          <cell r="B1280">
            <v>1.3</v>
          </cell>
          <cell r="C1280" t="str">
            <v>80951703EF1</v>
          </cell>
          <cell r="D1280">
            <v>94600</v>
          </cell>
          <cell r="E1280" t="str">
            <v>23/09/2013</v>
          </cell>
        </row>
        <row r="1281">
          <cell r="A1281" t="str">
            <v>90970801A</v>
          </cell>
          <cell r="B1281">
            <v>2</v>
          </cell>
          <cell r="C1281" t="str">
            <v>80970801AF1</v>
          </cell>
          <cell r="D1281">
            <v>94600</v>
          </cell>
          <cell r="E1281" t="str">
            <v>23/09/2013</v>
          </cell>
        </row>
        <row r="1282">
          <cell r="A1282" t="str">
            <v>90970801F</v>
          </cell>
          <cell r="B1282">
            <v>1.1299999999999999</v>
          </cell>
          <cell r="C1282" t="str">
            <v>80970801FF1</v>
          </cell>
          <cell r="D1282">
            <v>94600</v>
          </cell>
          <cell r="E1282" t="str">
            <v>23/09/2013</v>
          </cell>
        </row>
        <row r="1283">
          <cell r="A1283" t="str">
            <v>90970804A</v>
          </cell>
          <cell r="B1283">
            <v>2</v>
          </cell>
          <cell r="C1283" t="str">
            <v>80970804AF1</v>
          </cell>
          <cell r="D1283">
            <v>94600</v>
          </cell>
          <cell r="E1283" t="str">
            <v>23/09/2013</v>
          </cell>
        </row>
        <row r="1284">
          <cell r="A1284" t="str">
            <v>90971801A</v>
          </cell>
          <cell r="B1284">
            <v>5.8</v>
          </cell>
          <cell r="C1284" t="str">
            <v>80971801AF1</v>
          </cell>
          <cell r="D1284">
            <v>94600</v>
          </cell>
          <cell r="E1284" t="str">
            <v>23/09/2013</v>
          </cell>
        </row>
        <row r="1285">
          <cell r="A1285" t="str">
            <v>90971801C</v>
          </cell>
          <cell r="B1285">
            <v>1.3</v>
          </cell>
          <cell r="C1285" t="str">
            <v>80971801CF1</v>
          </cell>
          <cell r="D1285">
            <v>94600</v>
          </cell>
          <cell r="E1285" t="str">
            <v>23/09/2013</v>
          </cell>
        </row>
        <row r="1286">
          <cell r="A1286" t="str">
            <v>90971803B</v>
          </cell>
          <cell r="B1286">
            <v>2</v>
          </cell>
          <cell r="C1286" t="str">
            <v>80971803BF1</v>
          </cell>
          <cell r="D1286">
            <v>94600</v>
          </cell>
          <cell r="E1286" t="str">
            <v>23/09/2013</v>
          </cell>
        </row>
        <row r="1287">
          <cell r="A1287" t="str">
            <v>90971803C</v>
          </cell>
          <cell r="B1287">
            <v>1.1299999999999999</v>
          </cell>
          <cell r="C1287" t="str">
            <v>80971803CF1</v>
          </cell>
          <cell r="D1287">
            <v>94600</v>
          </cell>
          <cell r="E1287" t="str">
            <v>23/09/2013</v>
          </cell>
        </row>
        <row r="1288">
          <cell r="A1288" t="str">
            <v>90RD12101A</v>
          </cell>
          <cell r="B1288">
            <v>5.8</v>
          </cell>
          <cell r="C1288" t="str">
            <v>80RD12101AF1</v>
          </cell>
          <cell r="D1288">
            <v>94600</v>
          </cell>
          <cell r="E1288" t="str">
            <v>23/09/2013</v>
          </cell>
        </row>
        <row r="1289">
          <cell r="A1289" t="str">
            <v>90RD12104A</v>
          </cell>
          <cell r="B1289">
            <v>5.8</v>
          </cell>
          <cell r="C1289" t="str">
            <v>80RD12104AF1</v>
          </cell>
          <cell r="D1289">
            <v>94600</v>
          </cell>
          <cell r="E1289" t="str">
            <v>23/09/2013</v>
          </cell>
        </row>
        <row r="1290">
          <cell r="A1290" t="str">
            <v>91020302C</v>
          </cell>
          <cell r="B1290">
            <v>2</v>
          </cell>
          <cell r="C1290" t="str">
            <v>81020302CF1</v>
          </cell>
          <cell r="D1290">
            <v>94600</v>
          </cell>
          <cell r="E1290" t="str">
            <v>23/09/2013</v>
          </cell>
        </row>
        <row r="1291">
          <cell r="A1291" t="str">
            <v>91020302D</v>
          </cell>
          <cell r="B1291">
            <v>1.1299999999999999</v>
          </cell>
          <cell r="C1291" t="str">
            <v>81020302DF1</v>
          </cell>
          <cell r="D1291">
            <v>94600</v>
          </cell>
          <cell r="E1291" t="str">
            <v>23/09/2013</v>
          </cell>
        </row>
        <row r="1292">
          <cell r="A1292" t="str">
            <v>91030101A</v>
          </cell>
          <cell r="B1292">
            <v>2</v>
          </cell>
          <cell r="C1292" t="str">
            <v>81030101AF1</v>
          </cell>
          <cell r="D1292">
            <v>94600</v>
          </cell>
          <cell r="E1292" t="str">
            <v>23/09/2013</v>
          </cell>
        </row>
        <row r="1293">
          <cell r="A1293" t="str">
            <v>91090301A</v>
          </cell>
          <cell r="B1293">
            <v>1.1299999999999999</v>
          </cell>
          <cell r="C1293" t="str">
            <v>81090301AF1</v>
          </cell>
          <cell r="D1293">
            <v>94600</v>
          </cell>
          <cell r="E1293" t="str">
            <v>23/09/2013</v>
          </cell>
        </row>
        <row r="1294">
          <cell r="A1294" t="str">
            <v>91090401A</v>
          </cell>
          <cell r="B1294">
            <v>1.6</v>
          </cell>
          <cell r="C1294" t="str">
            <v>81090401AF1</v>
          </cell>
          <cell r="D1294">
            <v>94600</v>
          </cell>
          <cell r="E1294" t="str">
            <v>23/09/2013</v>
          </cell>
        </row>
        <row r="1295">
          <cell r="A1295" t="str">
            <v>91090402A</v>
          </cell>
          <cell r="B1295">
            <v>1.1299999999999999</v>
          </cell>
          <cell r="C1295" t="str">
            <v>81090402AF1</v>
          </cell>
          <cell r="D1295">
            <v>94600</v>
          </cell>
          <cell r="E1295" t="str">
            <v>23/09/2013</v>
          </cell>
        </row>
        <row r="1296">
          <cell r="A1296" t="str">
            <v>91090402B</v>
          </cell>
          <cell r="B1296">
            <v>2</v>
          </cell>
          <cell r="C1296" t="str">
            <v>81090402BF1</v>
          </cell>
          <cell r="D1296">
            <v>94600</v>
          </cell>
          <cell r="E1296" t="str">
            <v>23/09/2013</v>
          </cell>
        </row>
        <row r="1297">
          <cell r="A1297" t="str">
            <v>91090402C</v>
          </cell>
          <cell r="B1297">
            <v>1.1299999999999999</v>
          </cell>
          <cell r="C1297" t="str">
            <v>81090402CF1</v>
          </cell>
          <cell r="D1297">
            <v>94600</v>
          </cell>
          <cell r="E1297" t="str">
            <v>23/09/2013</v>
          </cell>
        </row>
        <row r="1298">
          <cell r="A1298" t="str">
            <v>91090501A</v>
          </cell>
          <cell r="B1298">
            <v>2</v>
          </cell>
          <cell r="C1298" t="str">
            <v>81090501AF1</v>
          </cell>
          <cell r="D1298">
            <v>94600</v>
          </cell>
          <cell r="E1298" t="str">
            <v>23/09/2013</v>
          </cell>
        </row>
        <row r="1299">
          <cell r="A1299" t="str">
            <v>91090501B</v>
          </cell>
          <cell r="B1299">
            <v>1.1299999999999999</v>
          </cell>
          <cell r="C1299" t="str">
            <v>81090501BF1</v>
          </cell>
          <cell r="D1299">
            <v>94600</v>
          </cell>
          <cell r="E1299" t="str">
            <v>23/09/2013</v>
          </cell>
        </row>
        <row r="1300">
          <cell r="A1300" t="str">
            <v>91090501C</v>
          </cell>
          <cell r="B1300">
            <v>1.1299999999999999</v>
          </cell>
          <cell r="C1300" t="str">
            <v>81090501CF1</v>
          </cell>
          <cell r="D1300">
            <v>94600</v>
          </cell>
          <cell r="E1300" t="str">
            <v>23/09/2013</v>
          </cell>
        </row>
        <row r="1301">
          <cell r="A1301" t="str">
            <v>91090601A</v>
          </cell>
          <cell r="B1301">
            <v>4.3099999999999996</v>
          </cell>
          <cell r="C1301" t="str">
            <v>81090601AF1</v>
          </cell>
          <cell r="D1301">
            <v>94600</v>
          </cell>
          <cell r="E1301" t="str">
            <v>23/09/2013</v>
          </cell>
        </row>
        <row r="1302">
          <cell r="A1302" t="str">
            <v>91110102A</v>
          </cell>
          <cell r="B1302">
            <v>1.3</v>
          </cell>
          <cell r="C1302" t="str">
            <v>81110102AF1</v>
          </cell>
          <cell r="D1302">
            <v>94600</v>
          </cell>
          <cell r="E1302" t="str">
            <v>23/09/2013</v>
          </cell>
        </row>
        <row r="1303">
          <cell r="A1303" t="str">
            <v>91160103A</v>
          </cell>
          <cell r="B1303">
            <v>4.3099999999999996</v>
          </cell>
          <cell r="C1303" t="str">
            <v>81160103AF1</v>
          </cell>
          <cell r="D1303">
            <v>94600</v>
          </cell>
          <cell r="E1303" t="str">
            <v>23/09/2013</v>
          </cell>
        </row>
        <row r="1304">
          <cell r="A1304" t="str">
            <v>91230201A</v>
          </cell>
          <cell r="B1304">
            <v>2</v>
          </cell>
          <cell r="C1304" t="str">
            <v>81230201AF1</v>
          </cell>
          <cell r="D1304">
            <v>94600</v>
          </cell>
          <cell r="E1304" t="str">
            <v>23/09/2013</v>
          </cell>
        </row>
        <row r="1305">
          <cell r="A1305" t="str">
            <v>91230202A</v>
          </cell>
          <cell r="B1305">
            <v>2</v>
          </cell>
          <cell r="C1305" t="str">
            <v>81230202AF1</v>
          </cell>
          <cell r="D1305">
            <v>94600</v>
          </cell>
          <cell r="E1305" t="str">
            <v>23/09/2013</v>
          </cell>
        </row>
        <row r="1306">
          <cell r="A1306" t="str">
            <v>91320101A</v>
          </cell>
          <cell r="B1306">
            <v>4.3099999999999996</v>
          </cell>
          <cell r="C1306" t="str">
            <v>81320101AF1</v>
          </cell>
          <cell r="D1306">
            <v>94600</v>
          </cell>
          <cell r="E1306" t="str">
            <v>23/09/2013</v>
          </cell>
        </row>
        <row r="1307">
          <cell r="A1307" t="str">
            <v>91320102A</v>
          </cell>
          <cell r="B1307">
            <v>4.3099999999999996</v>
          </cell>
          <cell r="C1307" t="str">
            <v>81320102AF1</v>
          </cell>
          <cell r="D1307">
            <v>94600</v>
          </cell>
          <cell r="E1307" t="str">
            <v>23/09/2013</v>
          </cell>
        </row>
        <row r="1308">
          <cell r="A1308" t="str">
            <v>91320201A</v>
          </cell>
          <cell r="B1308">
            <v>4.3099999999999996</v>
          </cell>
          <cell r="C1308" t="str">
            <v>81320201AF1</v>
          </cell>
          <cell r="D1308">
            <v>94600</v>
          </cell>
          <cell r="E1308" t="str">
            <v>23/09/2013</v>
          </cell>
        </row>
        <row r="1309">
          <cell r="A1309" t="str">
            <v>91380101A</v>
          </cell>
          <cell r="B1309">
            <v>4.3099999999999996</v>
          </cell>
          <cell r="C1309" t="str">
            <v>81380101AF1</v>
          </cell>
          <cell r="D1309">
            <v>94600</v>
          </cell>
          <cell r="E1309" t="str">
            <v>23/09/2013</v>
          </cell>
        </row>
        <row r="1310">
          <cell r="A1310" t="str">
            <v>91380101B</v>
          </cell>
          <cell r="B1310">
            <v>4.3099999999999996</v>
          </cell>
          <cell r="C1310" t="str">
            <v>81380101BF1</v>
          </cell>
          <cell r="D1310">
            <v>94600</v>
          </cell>
          <cell r="E1310" t="str">
            <v>23/09/2013</v>
          </cell>
        </row>
        <row r="1311">
          <cell r="A1311" t="str">
            <v>91400101B</v>
          </cell>
          <cell r="B1311">
            <v>1.1299999999999999</v>
          </cell>
          <cell r="C1311" t="str">
            <v>81400101BF1</v>
          </cell>
          <cell r="D1311">
            <v>94600</v>
          </cell>
          <cell r="E1311" t="str">
            <v>23/09/2013</v>
          </cell>
        </row>
        <row r="1312">
          <cell r="A1312" t="str">
            <v>9X12106AA</v>
          </cell>
          <cell r="B1312">
            <v>2</v>
          </cell>
          <cell r="C1312" t="str">
            <v>8X12106AAF1</v>
          </cell>
          <cell r="D1312">
            <v>94600</v>
          </cell>
          <cell r="E1312" t="str">
            <v>23/09/2013</v>
          </cell>
        </row>
        <row r="1313">
          <cell r="A1313" t="str">
            <v>9X12106JA</v>
          </cell>
          <cell r="B1313">
            <v>2</v>
          </cell>
          <cell r="C1313" t="str">
            <v>8X12106JAF1</v>
          </cell>
          <cell r="D1313">
            <v>94600</v>
          </cell>
          <cell r="E1313" t="str">
            <v>23/09/2013</v>
          </cell>
        </row>
        <row r="1314">
          <cell r="A1314" t="str">
            <v>9X12106KA</v>
          </cell>
          <cell r="B1314">
            <v>1.1299999999999999</v>
          </cell>
          <cell r="C1314" t="str">
            <v>8X12106KAF1</v>
          </cell>
          <cell r="D1314">
            <v>94600</v>
          </cell>
          <cell r="E1314" t="str">
            <v>23/09/2013</v>
          </cell>
        </row>
        <row r="1315">
          <cell r="A1315" t="str">
            <v>9X12106LA</v>
          </cell>
          <cell r="B1315">
            <v>1.6</v>
          </cell>
          <cell r="C1315" t="str">
            <v>8X12106LAF1</v>
          </cell>
          <cell r="D1315">
            <v>94600</v>
          </cell>
          <cell r="E1315" t="str">
            <v>23/09/2013</v>
          </cell>
        </row>
        <row r="1316">
          <cell r="A1316" t="str">
            <v>9X12106MA</v>
          </cell>
          <cell r="B1316">
            <v>1.1299999999999999</v>
          </cell>
          <cell r="C1316" t="str">
            <v>8X12106MAF1</v>
          </cell>
          <cell r="D1316">
            <v>94600</v>
          </cell>
          <cell r="E1316" t="str">
            <v>23/09/2013</v>
          </cell>
        </row>
        <row r="1317">
          <cell r="A1317" t="str">
            <v>9X12106NA</v>
          </cell>
          <cell r="B1317">
            <v>1.1299999999999999</v>
          </cell>
          <cell r="C1317" t="str">
            <v>8X12106NAF1</v>
          </cell>
          <cell r="D1317">
            <v>94600</v>
          </cell>
          <cell r="E1317" t="str">
            <v>23/09/2013</v>
          </cell>
        </row>
        <row r="1318">
          <cell r="A1318" t="str">
            <v>9X12106OA</v>
          </cell>
          <cell r="B1318">
            <v>1.1299999999999999</v>
          </cell>
          <cell r="C1318" t="str">
            <v>8X12106OAF1</v>
          </cell>
          <cell r="D1318">
            <v>94600</v>
          </cell>
          <cell r="E1318" t="str">
            <v>23/09/2013</v>
          </cell>
        </row>
        <row r="1319">
          <cell r="A1319" t="str">
            <v>9X12106QA</v>
          </cell>
          <cell r="B1319">
            <v>1.1299999999999999</v>
          </cell>
          <cell r="C1319" t="str">
            <v>8X12106QAF1</v>
          </cell>
          <cell r="D1319">
            <v>94600</v>
          </cell>
          <cell r="E1319" t="str">
            <v>23/09/2013</v>
          </cell>
        </row>
        <row r="1320">
          <cell r="A1320" t="str">
            <v>9X12107CA</v>
          </cell>
          <cell r="B1320">
            <v>2</v>
          </cell>
          <cell r="C1320" t="str">
            <v>8X12107CAF1</v>
          </cell>
          <cell r="D1320">
            <v>94600</v>
          </cell>
          <cell r="E1320" t="str">
            <v>23/09/2013</v>
          </cell>
        </row>
        <row r="1321">
          <cell r="A1321" t="str">
            <v>9X12107FB</v>
          </cell>
          <cell r="B1321">
            <v>2</v>
          </cell>
          <cell r="C1321" t="str">
            <v>8X12107FBF1</v>
          </cell>
          <cell r="D1321">
            <v>94600</v>
          </cell>
          <cell r="E1321" t="str">
            <v>23/09/2013</v>
          </cell>
        </row>
        <row r="1322">
          <cell r="A1322" t="str">
            <v>9X12107IA</v>
          </cell>
          <cell r="B1322">
            <v>2</v>
          </cell>
          <cell r="C1322" t="str">
            <v>8X12107IAF1</v>
          </cell>
          <cell r="D1322">
            <v>94600</v>
          </cell>
          <cell r="E1322" t="str">
            <v>23/09/2013</v>
          </cell>
        </row>
        <row r="1323">
          <cell r="A1323" t="str">
            <v>9X12107JA</v>
          </cell>
          <cell r="B1323">
            <v>1.1299999999999999</v>
          </cell>
          <cell r="C1323" t="str">
            <v>8X12107JAF1</v>
          </cell>
          <cell r="D1323">
            <v>94600</v>
          </cell>
          <cell r="E1323" t="str">
            <v>23/09/2013</v>
          </cell>
        </row>
        <row r="1324">
          <cell r="A1324" t="str">
            <v>9X12107KA</v>
          </cell>
          <cell r="B1324">
            <v>1.3</v>
          </cell>
          <cell r="C1324" t="str">
            <v>8X12107KAF1</v>
          </cell>
          <cell r="D1324">
            <v>94600</v>
          </cell>
          <cell r="E1324" t="str">
            <v>23/09/2013</v>
          </cell>
        </row>
        <row r="1325">
          <cell r="A1325" t="str">
            <v>9X12107NA</v>
          </cell>
          <cell r="B1325">
            <v>1.6</v>
          </cell>
          <cell r="C1325" t="str">
            <v>8X12107NAF1</v>
          </cell>
          <cell r="D1325">
            <v>94600</v>
          </cell>
          <cell r="E1325" t="str">
            <v>23/09/2013</v>
          </cell>
        </row>
        <row r="1326">
          <cell r="A1326" t="str">
            <v>9X12107OA</v>
          </cell>
          <cell r="B1326">
            <v>1.1299999999999999</v>
          </cell>
          <cell r="C1326" t="str">
            <v>8X12107OAF1</v>
          </cell>
          <cell r="D1326">
            <v>94600</v>
          </cell>
          <cell r="E1326" t="str">
            <v>23/09/2013</v>
          </cell>
        </row>
        <row r="1327">
          <cell r="A1327" t="str">
            <v>9X12110AA</v>
          </cell>
          <cell r="B1327">
            <v>2</v>
          </cell>
          <cell r="C1327" t="str">
            <v>8X12110AAF1</v>
          </cell>
          <cell r="D1327">
            <v>94600</v>
          </cell>
          <cell r="E1327" t="str">
            <v>23/09/2013</v>
          </cell>
        </row>
        <row r="1328">
          <cell r="A1328" t="str">
            <v>9X12110BA</v>
          </cell>
          <cell r="B1328">
            <v>2</v>
          </cell>
          <cell r="C1328" t="str">
            <v>8X12110BAF1</v>
          </cell>
          <cell r="D1328">
            <v>94600</v>
          </cell>
          <cell r="E1328" t="str">
            <v>23/09/2013</v>
          </cell>
        </row>
        <row r="1329">
          <cell r="A1329" t="str">
            <v>9X12110CA</v>
          </cell>
          <cell r="B1329">
            <v>1.9</v>
          </cell>
          <cell r="C1329" t="str">
            <v>8X12110CAF1</v>
          </cell>
          <cell r="D1329">
            <v>94600</v>
          </cell>
          <cell r="E1329" t="str">
            <v>23/09/2013</v>
          </cell>
        </row>
        <row r="1330">
          <cell r="A1330" t="str">
            <v>9X12110DA</v>
          </cell>
          <cell r="B1330">
            <v>2.5</v>
          </cell>
          <cell r="C1330" t="str">
            <v>8X12110DAF1</v>
          </cell>
          <cell r="D1330">
            <v>94600</v>
          </cell>
          <cell r="E1330" t="str">
            <v>23/09/2013</v>
          </cell>
        </row>
        <row r="1331">
          <cell r="A1331" t="str">
            <v>9X12110EA</v>
          </cell>
          <cell r="B1331">
            <v>1.1299999999999999</v>
          </cell>
          <cell r="C1331" t="str">
            <v>8X12110EAF1</v>
          </cell>
          <cell r="D1331">
            <v>94600</v>
          </cell>
          <cell r="E1331" t="str">
            <v>23/09/2013</v>
          </cell>
        </row>
        <row r="1332">
          <cell r="A1332" t="str">
            <v>9X12110GA</v>
          </cell>
          <cell r="B1332">
            <v>1.3</v>
          </cell>
          <cell r="C1332" t="str">
            <v>8X12110GAF1</v>
          </cell>
          <cell r="D1332">
            <v>94600</v>
          </cell>
          <cell r="E1332" t="str">
            <v>23/09/2013</v>
          </cell>
        </row>
        <row r="1333">
          <cell r="A1333" t="str">
            <v>9X12110HA</v>
          </cell>
          <cell r="B1333">
            <v>1.1299999999999999</v>
          </cell>
          <cell r="C1333" t="str">
            <v>8X12110HAF1</v>
          </cell>
          <cell r="D1333">
            <v>94600</v>
          </cell>
          <cell r="E1333" t="str">
            <v>23/09/2013</v>
          </cell>
        </row>
        <row r="1334">
          <cell r="A1334" t="str">
            <v>9X12110IA</v>
          </cell>
          <cell r="B1334">
            <v>1.1299999999999999</v>
          </cell>
          <cell r="C1334" t="str">
            <v>8X12110IAF1</v>
          </cell>
          <cell r="D1334">
            <v>94600</v>
          </cell>
          <cell r="E1334" t="str">
            <v>23/09/2013</v>
          </cell>
        </row>
        <row r="1335">
          <cell r="A1335" t="str">
            <v>9X12110JA</v>
          </cell>
          <cell r="B1335">
            <v>1.1299999999999999</v>
          </cell>
          <cell r="C1335" t="str">
            <v>8X12110JAF1</v>
          </cell>
          <cell r="D1335">
            <v>94600</v>
          </cell>
          <cell r="E1335" t="str">
            <v>23/09/2013</v>
          </cell>
        </row>
        <row r="1336">
          <cell r="A1336" t="str">
            <v>9X12121AA</v>
          </cell>
          <cell r="B1336">
            <v>1.1299999999999999</v>
          </cell>
          <cell r="C1336" t="str">
            <v>8X12121AAF1</v>
          </cell>
          <cell r="D1336">
            <v>94600</v>
          </cell>
          <cell r="E1336" t="str">
            <v>23/09/2013</v>
          </cell>
        </row>
        <row r="1337">
          <cell r="A1337" t="str">
            <v>9X12121BA</v>
          </cell>
          <cell r="B1337">
            <v>1.1299999999999999</v>
          </cell>
          <cell r="C1337" t="str">
            <v>8X12121BAF1</v>
          </cell>
          <cell r="D1337">
            <v>94600</v>
          </cell>
          <cell r="E1337" t="str">
            <v>23/09/2013</v>
          </cell>
        </row>
        <row r="1338">
          <cell r="A1338" t="str">
            <v>9X12402AB</v>
          </cell>
          <cell r="B1338">
            <v>2</v>
          </cell>
          <cell r="C1338" t="str">
            <v>8X12402ABF1</v>
          </cell>
          <cell r="D1338">
            <v>94600</v>
          </cell>
          <cell r="E1338" t="str">
            <v>23/09/2013</v>
          </cell>
        </row>
        <row r="1339">
          <cell r="A1339" t="str">
            <v>9X12402DA</v>
          </cell>
          <cell r="B1339">
            <v>1.1299999999999999</v>
          </cell>
          <cell r="C1339" t="str">
            <v>8X12402DAF1</v>
          </cell>
          <cell r="D1339">
            <v>94600</v>
          </cell>
          <cell r="E1339" t="str">
            <v>23/09/2013</v>
          </cell>
        </row>
        <row r="1340">
          <cell r="A1340" t="str">
            <v>9X12402EA</v>
          </cell>
          <cell r="B1340">
            <v>2</v>
          </cell>
          <cell r="C1340" t="str">
            <v>8X12402EAF1</v>
          </cell>
          <cell r="D1340">
            <v>94600</v>
          </cell>
          <cell r="E1340" t="str">
            <v>23/09/2013</v>
          </cell>
        </row>
        <row r="1341">
          <cell r="A1341" t="str">
            <v>9X12403AA</v>
          </cell>
          <cell r="B1341">
            <v>1.9</v>
          </cell>
          <cell r="C1341" t="str">
            <v>8X12403AAF1</v>
          </cell>
          <cell r="D1341">
            <v>94600</v>
          </cell>
          <cell r="E1341" t="str">
            <v>23/09/2013</v>
          </cell>
        </row>
        <row r="1342">
          <cell r="A1342" t="str">
            <v>9X12404AA</v>
          </cell>
          <cell r="B1342">
            <v>2</v>
          </cell>
          <cell r="C1342" t="str">
            <v>8X12404AAF1</v>
          </cell>
          <cell r="D1342">
            <v>94600</v>
          </cell>
          <cell r="E1342" t="str">
            <v>23/09/2013</v>
          </cell>
        </row>
        <row r="1343">
          <cell r="A1343" t="str">
            <v>9X12404BA</v>
          </cell>
          <cell r="B1343">
            <v>1.9</v>
          </cell>
          <cell r="C1343" t="str">
            <v>8X12404BAF1</v>
          </cell>
          <cell r="D1343">
            <v>94600</v>
          </cell>
          <cell r="E1343" t="str">
            <v>23/09/2013</v>
          </cell>
        </row>
        <row r="1344">
          <cell r="A1344" t="str">
            <v>9X12404CA</v>
          </cell>
          <cell r="B1344">
            <v>1.1299999999999999</v>
          </cell>
          <cell r="C1344" t="str">
            <v>8X12404CAF1</v>
          </cell>
          <cell r="D1344">
            <v>94600</v>
          </cell>
          <cell r="E1344" t="str">
            <v>23/09/2013</v>
          </cell>
        </row>
        <row r="1345">
          <cell r="A1345" t="str">
            <v>9X12404DA</v>
          </cell>
          <cell r="B1345">
            <v>1.1299999999999999</v>
          </cell>
          <cell r="C1345" t="str">
            <v>8X12404DAF1</v>
          </cell>
          <cell r="D1345">
            <v>94600</v>
          </cell>
          <cell r="E1345" t="str">
            <v>23/09/2013</v>
          </cell>
        </row>
        <row r="1346">
          <cell r="A1346" t="str">
            <v>9X12404EA</v>
          </cell>
          <cell r="B1346">
            <v>1.1299999999999999</v>
          </cell>
          <cell r="C1346" t="str">
            <v>8X12404EAF1</v>
          </cell>
          <cell r="D1346">
            <v>94600</v>
          </cell>
          <cell r="E1346" t="str">
            <v>23/09/2013</v>
          </cell>
        </row>
        <row r="1347">
          <cell r="A1347" t="str">
            <v>9X12406AA</v>
          </cell>
          <cell r="B1347">
            <v>2</v>
          </cell>
          <cell r="C1347" t="str">
            <v>8X12406AAF1</v>
          </cell>
          <cell r="D1347">
            <v>94600</v>
          </cell>
          <cell r="E1347" t="str">
            <v>23/09/2013</v>
          </cell>
        </row>
        <row r="1348">
          <cell r="A1348" t="str">
            <v>9X12406BA</v>
          </cell>
          <cell r="B1348">
            <v>2</v>
          </cell>
          <cell r="C1348" t="str">
            <v>8X12406BAF1</v>
          </cell>
          <cell r="D1348">
            <v>94600</v>
          </cell>
          <cell r="E1348" t="str">
            <v>23/09/2013</v>
          </cell>
        </row>
        <row r="1349">
          <cell r="A1349" t="str">
            <v>9X12406CA</v>
          </cell>
          <cell r="B1349">
            <v>1.1299999999999999</v>
          </cell>
          <cell r="C1349" t="str">
            <v>8X12406CAF1</v>
          </cell>
          <cell r="D1349">
            <v>94600</v>
          </cell>
          <cell r="E1349" t="str">
            <v>23/09/2013</v>
          </cell>
        </row>
        <row r="1350">
          <cell r="A1350" t="str">
            <v>9X12406CB</v>
          </cell>
          <cell r="B1350">
            <v>1.9</v>
          </cell>
          <cell r="C1350" t="str">
            <v>8X12406CAF1</v>
          </cell>
          <cell r="D1350">
            <v>94600</v>
          </cell>
          <cell r="E1350" t="str">
            <v>23/09/2013</v>
          </cell>
        </row>
        <row r="1351">
          <cell r="A1351" t="str">
            <v>9X12406DA</v>
          </cell>
          <cell r="B1351">
            <v>1.1299999999999999</v>
          </cell>
          <cell r="C1351" t="str">
            <v>8X12406DAF1</v>
          </cell>
          <cell r="D1351">
            <v>94600</v>
          </cell>
          <cell r="E1351" t="str">
            <v>23/09/2013</v>
          </cell>
        </row>
        <row r="1352">
          <cell r="A1352" t="str">
            <v>9X12406GA</v>
          </cell>
          <cell r="B1352">
            <v>1.1299999999999999</v>
          </cell>
          <cell r="C1352" t="str">
            <v>8X12406GAF1</v>
          </cell>
          <cell r="D1352">
            <v>94600</v>
          </cell>
          <cell r="E1352" t="str">
            <v>23/09/2013</v>
          </cell>
        </row>
        <row r="1353">
          <cell r="A1353" t="str">
            <v>9X12406HA</v>
          </cell>
          <cell r="B1353">
            <v>1.1299999999999999</v>
          </cell>
          <cell r="C1353" t="str">
            <v>8X12406HAF1</v>
          </cell>
          <cell r="D1353">
            <v>94600</v>
          </cell>
          <cell r="E1353" t="str">
            <v>23/09/2013</v>
          </cell>
        </row>
        <row r="1354">
          <cell r="A1354" t="str">
            <v>9X12413AA</v>
          </cell>
          <cell r="B1354">
            <v>1.1299999999999999</v>
          </cell>
          <cell r="C1354" t="str">
            <v>8X12413AAF1</v>
          </cell>
          <cell r="D1354">
            <v>94600</v>
          </cell>
          <cell r="E1354" t="str">
            <v>23/09/2013</v>
          </cell>
        </row>
        <row r="1355">
          <cell r="A1355" t="str">
            <v>9X12413AB</v>
          </cell>
          <cell r="B1355">
            <v>1.1299999999999999</v>
          </cell>
          <cell r="C1355" t="str">
            <v>8X12413AAF1</v>
          </cell>
          <cell r="D1355">
            <v>94600</v>
          </cell>
          <cell r="E1355" t="str">
            <v>23/09/2013</v>
          </cell>
        </row>
        <row r="1356">
          <cell r="A1356" t="str">
            <v>9X12413CA</v>
          </cell>
          <cell r="B1356">
            <v>1.1299999999999999</v>
          </cell>
          <cell r="C1356" t="str">
            <v>8X12413CAF1</v>
          </cell>
          <cell r="D1356">
            <v>94600</v>
          </cell>
          <cell r="E1356" t="str">
            <v>23/09/2013</v>
          </cell>
        </row>
        <row r="1357">
          <cell r="A1357" t="str">
            <v>9X12413DA</v>
          </cell>
          <cell r="B1357">
            <v>1.1299999999999999</v>
          </cell>
          <cell r="C1357" t="str">
            <v>8X12413DAF1</v>
          </cell>
          <cell r="D1357">
            <v>94600</v>
          </cell>
          <cell r="E1357" t="str">
            <v>23/09/2013</v>
          </cell>
        </row>
        <row r="1358">
          <cell r="A1358" t="str">
            <v>9X12415AA</v>
          </cell>
          <cell r="B1358">
            <v>1.1299999999999999</v>
          </cell>
          <cell r="C1358" t="str">
            <v>8X12415AAF1</v>
          </cell>
          <cell r="D1358">
            <v>94600</v>
          </cell>
          <cell r="E1358" t="str">
            <v>23/09/2013</v>
          </cell>
        </row>
        <row r="1359">
          <cell r="A1359" t="str">
            <v>9X12415BA</v>
          </cell>
          <cell r="B1359">
            <v>1.1299999999999999</v>
          </cell>
          <cell r="C1359" t="str">
            <v>8X12415BAF1</v>
          </cell>
          <cell r="D1359">
            <v>94600</v>
          </cell>
          <cell r="E1359" t="str">
            <v>23/09/2013</v>
          </cell>
        </row>
        <row r="1360">
          <cell r="A1360" t="str">
            <v>9X12415DA</v>
          </cell>
          <cell r="B1360">
            <v>1.1299999999999999</v>
          </cell>
          <cell r="C1360" t="str">
            <v>8X12415DAF1</v>
          </cell>
          <cell r="D1360">
            <v>94600</v>
          </cell>
          <cell r="E1360" t="str">
            <v>23/09/2013</v>
          </cell>
        </row>
        <row r="1361">
          <cell r="A1361" t="str">
            <v>9X12415EA</v>
          </cell>
          <cell r="B1361">
            <v>1.1299999999999999</v>
          </cell>
          <cell r="C1361" t="str">
            <v>8X12415EAF1</v>
          </cell>
          <cell r="D1361">
            <v>94600</v>
          </cell>
          <cell r="E1361" t="str">
            <v>23/09/2013</v>
          </cell>
        </row>
        <row r="1362">
          <cell r="A1362" t="str">
            <v>9X12415FA</v>
          </cell>
          <cell r="B1362">
            <v>1.1299999999999999</v>
          </cell>
          <cell r="C1362" t="str">
            <v>8X12415FAF1</v>
          </cell>
          <cell r="D1362">
            <v>94600</v>
          </cell>
          <cell r="E1362" t="str">
            <v>23/09/2013</v>
          </cell>
        </row>
        <row r="1363">
          <cell r="A1363" t="str">
            <v>9X12415ZA</v>
          </cell>
          <cell r="B1363">
            <v>1.1299999999999999</v>
          </cell>
          <cell r="C1363" t="str">
            <v>8X12415ZAF1</v>
          </cell>
          <cell r="D1363">
            <v>94600</v>
          </cell>
          <cell r="E1363" t="str">
            <v>23/09/2013</v>
          </cell>
        </row>
        <row r="1364">
          <cell r="A1364" t="str">
            <v>9X12416AA</v>
          </cell>
          <cell r="B1364">
            <v>1.1299999999999999</v>
          </cell>
          <cell r="C1364" t="str">
            <v>8X12416AAF1</v>
          </cell>
          <cell r="D1364">
            <v>94600</v>
          </cell>
          <cell r="E1364" t="str">
            <v>23/09/2013</v>
          </cell>
        </row>
        <row r="1365">
          <cell r="A1365" t="str">
            <v>9X12416BA</v>
          </cell>
          <cell r="B1365">
            <v>1.1299999999999999</v>
          </cell>
          <cell r="C1365" t="str">
            <v>8X12416BAF1</v>
          </cell>
          <cell r="D1365">
            <v>94600</v>
          </cell>
          <cell r="E1365" t="str">
            <v>23/09/2013</v>
          </cell>
        </row>
        <row r="1366">
          <cell r="A1366" t="str">
            <v>9X12417AA</v>
          </cell>
          <cell r="B1366">
            <v>1.1299999999999999</v>
          </cell>
          <cell r="C1366" t="str">
            <v>8X12417AAF1</v>
          </cell>
          <cell r="D1366">
            <v>94600</v>
          </cell>
          <cell r="E1366" t="str">
            <v>23/09/2013</v>
          </cell>
        </row>
        <row r="1367">
          <cell r="A1367" t="str">
            <v>9X12417CA</v>
          </cell>
          <cell r="B1367">
            <v>1.1299999999999999</v>
          </cell>
          <cell r="C1367" t="str">
            <v>8X12417CAF1</v>
          </cell>
          <cell r="D1367">
            <v>94600</v>
          </cell>
          <cell r="E1367" t="str">
            <v>23/09/2013</v>
          </cell>
        </row>
        <row r="1368">
          <cell r="A1368" t="str">
            <v>9X12417DA</v>
          </cell>
          <cell r="B1368">
            <v>1.1299999999999999</v>
          </cell>
          <cell r="C1368" t="str">
            <v>8X12417DAF1</v>
          </cell>
          <cell r="D1368">
            <v>94600</v>
          </cell>
          <cell r="E1368" t="str">
            <v>23/09/2013</v>
          </cell>
        </row>
        <row r="1369">
          <cell r="A1369" t="str">
            <v>9X12419BA</v>
          </cell>
          <cell r="B1369">
            <v>1.1299999999999999</v>
          </cell>
          <cell r="C1369" t="str">
            <v>8X12419BAF1</v>
          </cell>
          <cell r="D1369">
            <v>94600</v>
          </cell>
          <cell r="E1369" t="str">
            <v>23/09/2013</v>
          </cell>
        </row>
        <row r="1370">
          <cell r="A1370" t="str">
            <v>9X12501AA</v>
          </cell>
          <cell r="B1370">
            <v>1.1299999999999999</v>
          </cell>
          <cell r="C1370" t="str">
            <v>8X12501AAF1</v>
          </cell>
          <cell r="D1370">
            <v>94600</v>
          </cell>
          <cell r="E1370" t="str">
            <v>23/09/2013</v>
          </cell>
        </row>
        <row r="1371">
          <cell r="A1371" t="str">
            <v>9X13101AA</v>
          </cell>
          <cell r="B1371">
            <v>0</v>
          </cell>
          <cell r="C1371" t="str">
            <v>8X13101AAF1</v>
          </cell>
          <cell r="D1371">
            <v>94600</v>
          </cell>
          <cell r="E1371" t="str">
            <v>23/09/2013</v>
          </cell>
        </row>
        <row r="1372">
          <cell r="A1372" t="str">
            <v>9X13501AA</v>
          </cell>
          <cell r="B1372">
            <v>2</v>
          </cell>
          <cell r="C1372" t="str">
            <v>8X13501ABF1</v>
          </cell>
          <cell r="D1372">
            <v>94600</v>
          </cell>
          <cell r="E1372" t="str">
            <v>23/09/2013</v>
          </cell>
        </row>
        <row r="1373">
          <cell r="A1373" t="str">
            <v>9X13501CA</v>
          </cell>
          <cell r="B1373">
            <v>1.3</v>
          </cell>
          <cell r="C1373" t="str">
            <v>8X13501CAF1</v>
          </cell>
          <cell r="D1373">
            <v>94600</v>
          </cell>
          <cell r="E1373" t="str">
            <v>23/09/2013</v>
          </cell>
        </row>
        <row r="1374">
          <cell r="A1374" t="str">
            <v>9X13501DA</v>
          </cell>
          <cell r="B1374">
            <v>1.3</v>
          </cell>
          <cell r="C1374" t="str">
            <v>8X13501DAF1</v>
          </cell>
          <cell r="D1374">
            <v>94600</v>
          </cell>
          <cell r="E1374" t="str">
            <v>23/09/2013</v>
          </cell>
        </row>
        <row r="1375">
          <cell r="A1375" t="str">
            <v>9X13501EA</v>
          </cell>
          <cell r="B1375">
            <v>1.3</v>
          </cell>
          <cell r="C1375" t="str">
            <v>8X13501EAF1</v>
          </cell>
          <cell r="D1375">
            <v>94600</v>
          </cell>
          <cell r="E1375" t="str">
            <v>23/09/2013</v>
          </cell>
        </row>
        <row r="1376">
          <cell r="A1376" t="str">
            <v>9X13502AA</v>
          </cell>
          <cell r="B1376">
            <v>2</v>
          </cell>
          <cell r="C1376" t="str">
            <v>8X13502AAF1</v>
          </cell>
          <cell r="D1376">
            <v>94600</v>
          </cell>
          <cell r="E1376" t="str">
            <v>23/09/2013</v>
          </cell>
        </row>
        <row r="1377">
          <cell r="A1377" t="str">
            <v>9X13502AB</v>
          </cell>
          <cell r="B1377">
            <v>2</v>
          </cell>
          <cell r="C1377" t="str">
            <v>8X13502AAF1</v>
          </cell>
          <cell r="D1377">
            <v>94600</v>
          </cell>
          <cell r="E1377" t="str">
            <v>23/09/2013</v>
          </cell>
        </row>
        <row r="1378">
          <cell r="A1378" t="str">
            <v>9X13601AA</v>
          </cell>
          <cell r="B1378">
            <v>2</v>
          </cell>
          <cell r="C1378" t="str">
            <v>8X13601AAF1</v>
          </cell>
          <cell r="D1378">
            <v>94600</v>
          </cell>
          <cell r="E1378" t="str">
            <v>23/09/2013</v>
          </cell>
        </row>
        <row r="1379">
          <cell r="A1379" t="str">
            <v>9X13601BA</v>
          </cell>
          <cell r="B1379">
            <v>1.1299999999999999</v>
          </cell>
          <cell r="C1379" t="str">
            <v>8X13601BAF1</v>
          </cell>
          <cell r="D1379">
            <v>94600</v>
          </cell>
          <cell r="E1379" t="str">
            <v>23/09/2013</v>
          </cell>
        </row>
        <row r="1380">
          <cell r="A1380" t="str">
            <v>9X13602AA</v>
          </cell>
          <cell r="B1380">
            <v>1.9</v>
          </cell>
          <cell r="C1380" t="str">
            <v>8X13602AAF2</v>
          </cell>
          <cell r="D1380">
            <v>94600</v>
          </cell>
          <cell r="E1380" t="str">
            <v>23/09/2013</v>
          </cell>
        </row>
        <row r="1381">
          <cell r="A1381" t="str">
            <v>9X13602CA</v>
          </cell>
          <cell r="B1381">
            <v>2</v>
          </cell>
          <cell r="C1381" t="str">
            <v>8X13602CAF1</v>
          </cell>
          <cell r="D1381">
            <v>94600</v>
          </cell>
          <cell r="E1381" t="str">
            <v>23/09/2013</v>
          </cell>
        </row>
        <row r="1382">
          <cell r="A1382" t="str">
            <v>9X13602CB</v>
          </cell>
          <cell r="B1382">
            <v>1.1299999999999999</v>
          </cell>
          <cell r="C1382" t="str">
            <v>8X13602CAF1</v>
          </cell>
          <cell r="D1382">
            <v>94600</v>
          </cell>
          <cell r="E1382" t="str">
            <v>23/09/2013</v>
          </cell>
        </row>
        <row r="1383">
          <cell r="A1383" t="str">
            <v>9X13602EA</v>
          </cell>
          <cell r="B1383">
            <v>1.3</v>
          </cell>
          <cell r="C1383" t="str">
            <v>8X13602EAF1</v>
          </cell>
          <cell r="D1383">
            <v>94600</v>
          </cell>
          <cell r="E1383" t="str">
            <v>23/09/2013</v>
          </cell>
        </row>
        <row r="1384">
          <cell r="A1384" t="str">
            <v>9X13602GA</v>
          </cell>
          <cell r="B1384">
            <v>2</v>
          </cell>
          <cell r="C1384" t="str">
            <v>8X13602GAF1</v>
          </cell>
          <cell r="D1384">
            <v>94600</v>
          </cell>
          <cell r="E1384" t="str">
            <v>23/09/2013</v>
          </cell>
        </row>
        <row r="1385">
          <cell r="A1385" t="str">
            <v>9X13602IA</v>
          </cell>
          <cell r="B1385">
            <v>1.1299999999999999</v>
          </cell>
          <cell r="C1385" t="str">
            <v>8X13602IAF1</v>
          </cell>
          <cell r="D1385">
            <v>94600</v>
          </cell>
          <cell r="E1385" t="str">
            <v>23/09/2013</v>
          </cell>
        </row>
        <row r="1386">
          <cell r="A1386" t="str">
            <v>9X13602IB</v>
          </cell>
          <cell r="B1386">
            <v>2</v>
          </cell>
          <cell r="C1386" t="str">
            <v>8X13602IAF1</v>
          </cell>
          <cell r="D1386">
            <v>94600</v>
          </cell>
          <cell r="E1386" t="str">
            <v>23/09/2013</v>
          </cell>
        </row>
        <row r="1387">
          <cell r="A1387" t="str">
            <v>9X13602KA</v>
          </cell>
          <cell r="B1387">
            <v>1.1299999999999999</v>
          </cell>
          <cell r="C1387" t="str">
            <v>8X13602KAF1</v>
          </cell>
          <cell r="D1387">
            <v>94600</v>
          </cell>
          <cell r="E1387" t="str">
            <v>23/09/2013</v>
          </cell>
        </row>
        <row r="1388">
          <cell r="A1388" t="str">
            <v>9X13605AA</v>
          </cell>
          <cell r="B1388">
            <v>1.1299999999999999</v>
          </cell>
          <cell r="C1388" t="str">
            <v>8X13605AAF1</v>
          </cell>
          <cell r="D1388">
            <v>94600</v>
          </cell>
          <cell r="E1388" t="str">
            <v>23/09/2013</v>
          </cell>
        </row>
        <row r="1389">
          <cell r="A1389" t="str">
            <v>9X13606AA</v>
          </cell>
          <cell r="B1389">
            <v>1.1299999999999999</v>
          </cell>
          <cell r="C1389" t="str">
            <v>8X13606AAF1</v>
          </cell>
          <cell r="D1389">
            <v>94600</v>
          </cell>
          <cell r="E1389" t="str">
            <v>23/09/2013</v>
          </cell>
        </row>
        <row r="1390">
          <cell r="A1390" t="str">
            <v>9X13701CA</v>
          </cell>
          <cell r="B1390">
            <v>2</v>
          </cell>
          <cell r="C1390" t="str">
            <v>8X13701CAF1</v>
          </cell>
          <cell r="D1390">
            <v>94600</v>
          </cell>
          <cell r="E1390" t="str">
            <v>23/09/2013</v>
          </cell>
        </row>
        <row r="1391">
          <cell r="A1391" t="str">
            <v>9X13701DA</v>
          </cell>
          <cell r="B1391">
            <v>1.1299999999999999</v>
          </cell>
          <cell r="C1391" t="str">
            <v>8X13701DAF1</v>
          </cell>
          <cell r="D1391">
            <v>94600</v>
          </cell>
          <cell r="E1391" t="str">
            <v>23/09/2013</v>
          </cell>
        </row>
        <row r="1392">
          <cell r="A1392" t="str">
            <v>9X13701DB</v>
          </cell>
          <cell r="B1392">
            <v>1.1299999999999999</v>
          </cell>
          <cell r="C1392" t="str">
            <v>8X13701DAF1</v>
          </cell>
          <cell r="D1392">
            <v>94600</v>
          </cell>
          <cell r="E1392" t="str">
            <v>23/09/2013</v>
          </cell>
        </row>
        <row r="1393">
          <cell r="A1393" t="str">
            <v>9X13702BA</v>
          </cell>
          <cell r="B1393">
            <v>1.9</v>
          </cell>
          <cell r="C1393" t="str">
            <v>8X13702BAF1</v>
          </cell>
          <cell r="D1393">
            <v>94600</v>
          </cell>
          <cell r="E1393" t="str">
            <v>23/09/2013</v>
          </cell>
        </row>
        <row r="1394">
          <cell r="A1394" t="str">
            <v>9X13702BB</v>
          </cell>
          <cell r="B1394">
            <v>1.9</v>
          </cell>
          <cell r="C1394" t="str">
            <v>8X13702BAF1</v>
          </cell>
          <cell r="D1394">
            <v>94600</v>
          </cell>
          <cell r="E1394" t="str">
            <v>23/09/2013</v>
          </cell>
        </row>
        <row r="1395">
          <cell r="A1395" t="str">
            <v>9X13702DA</v>
          </cell>
          <cell r="B1395">
            <v>1.1299999999999999</v>
          </cell>
          <cell r="C1395" t="str">
            <v>8X13702DAF1</v>
          </cell>
          <cell r="D1395">
            <v>94600</v>
          </cell>
          <cell r="E1395" t="str">
            <v>23/09/2013</v>
          </cell>
        </row>
        <row r="1396">
          <cell r="A1396" t="str">
            <v>9X13704AB</v>
          </cell>
          <cell r="B1396">
            <v>1.1299999999999999</v>
          </cell>
          <cell r="C1396" t="str">
            <v>8X13704ABF1</v>
          </cell>
          <cell r="D1396">
            <v>94600</v>
          </cell>
          <cell r="E1396" t="str">
            <v>23/09/2013</v>
          </cell>
        </row>
        <row r="1397">
          <cell r="A1397" t="str">
            <v>9X13704CA</v>
          </cell>
          <cell r="B1397">
            <v>1.1299999999999999</v>
          </cell>
          <cell r="C1397" t="str">
            <v>8X13704CAF1</v>
          </cell>
          <cell r="D1397">
            <v>94600</v>
          </cell>
          <cell r="E1397" t="str">
            <v>23/09/2013</v>
          </cell>
        </row>
        <row r="1398">
          <cell r="A1398" t="str">
            <v>9X13705BA</v>
          </cell>
          <cell r="B1398">
            <v>1.1299999999999999</v>
          </cell>
          <cell r="C1398" t="str">
            <v>8X13705BAF1</v>
          </cell>
          <cell r="D1398">
            <v>94600</v>
          </cell>
          <cell r="E1398">
            <v>41540</v>
          </cell>
        </row>
        <row r="1399">
          <cell r="A1399" t="str">
            <v>9X13705DA</v>
          </cell>
          <cell r="B1399">
            <v>1.1299999999999999</v>
          </cell>
          <cell r="C1399" t="str">
            <v>8X13705DAF1</v>
          </cell>
          <cell r="D1399">
            <v>94600</v>
          </cell>
          <cell r="E1399">
            <v>41540</v>
          </cell>
        </row>
        <row r="1400">
          <cell r="A1400" t="str">
            <v>9X13901AA</v>
          </cell>
          <cell r="B1400">
            <v>1.1299999999999999</v>
          </cell>
          <cell r="C1400" t="str">
            <v>8X13901AAF1</v>
          </cell>
          <cell r="D1400">
            <v>94600</v>
          </cell>
          <cell r="E1400">
            <v>41540</v>
          </cell>
        </row>
        <row r="1401">
          <cell r="A1401" t="str">
            <v>9X13901CA</v>
          </cell>
          <cell r="B1401">
            <v>1.1299999999999999</v>
          </cell>
          <cell r="C1401" t="str">
            <v>8X13901CAF1</v>
          </cell>
          <cell r="D1401">
            <v>94600</v>
          </cell>
          <cell r="E1401">
            <v>41540</v>
          </cell>
        </row>
        <row r="1402">
          <cell r="A1402" t="str">
            <v>9X13902AA</v>
          </cell>
          <cell r="B1402">
            <v>1.1299999999999999</v>
          </cell>
          <cell r="C1402" t="str">
            <v>8X13902AAF1</v>
          </cell>
          <cell r="D1402">
            <v>94600</v>
          </cell>
          <cell r="E1402">
            <v>41540</v>
          </cell>
        </row>
        <row r="1403">
          <cell r="A1403" t="str">
            <v>9X13902BA</v>
          </cell>
          <cell r="B1403">
            <v>1.1299999999999999</v>
          </cell>
          <cell r="C1403" t="str">
            <v>8X13902BAF1</v>
          </cell>
          <cell r="D1403">
            <v>94600</v>
          </cell>
          <cell r="E1403">
            <v>41540</v>
          </cell>
        </row>
        <row r="1404">
          <cell r="A1404" t="str">
            <v>9X16001AA</v>
          </cell>
          <cell r="B1404">
            <v>2</v>
          </cell>
          <cell r="C1404" t="str">
            <v>8X16001AAF1</v>
          </cell>
          <cell r="D1404">
            <v>94600</v>
          </cell>
          <cell r="E1404">
            <v>41540</v>
          </cell>
        </row>
        <row r="1405">
          <cell r="A1405" t="str">
            <v>9X16001DA</v>
          </cell>
          <cell r="B1405">
            <v>2</v>
          </cell>
          <cell r="C1405" t="str">
            <v>8X16001DAF1</v>
          </cell>
          <cell r="D1405">
            <v>94600</v>
          </cell>
          <cell r="E1405">
            <v>41540</v>
          </cell>
        </row>
        <row r="1406">
          <cell r="A1406" t="str">
            <v>9X16001EA</v>
          </cell>
          <cell r="B1406">
            <v>1.1299999999999999</v>
          </cell>
          <cell r="C1406" t="str">
            <v>8X16001EAF1</v>
          </cell>
          <cell r="D1406">
            <v>94600</v>
          </cell>
          <cell r="E1406">
            <v>41540</v>
          </cell>
        </row>
        <row r="1407">
          <cell r="A1407" t="str">
            <v>9X16001FA</v>
          </cell>
          <cell r="B1407">
            <v>1.9</v>
          </cell>
          <cell r="C1407" t="str">
            <v>8X16001FAF1</v>
          </cell>
          <cell r="D1407">
            <v>94600</v>
          </cell>
          <cell r="E1407">
            <v>41540</v>
          </cell>
        </row>
        <row r="1408">
          <cell r="A1408" t="str">
            <v>9X16001GA</v>
          </cell>
          <cell r="B1408">
            <v>1.1299999999999999</v>
          </cell>
          <cell r="C1408" t="str">
            <v>8X16001GAF1</v>
          </cell>
          <cell r="D1408">
            <v>94600</v>
          </cell>
          <cell r="E1408">
            <v>41540</v>
          </cell>
        </row>
        <row r="1409">
          <cell r="A1409" t="str">
            <v>9X16001HA</v>
          </cell>
          <cell r="B1409">
            <v>1.1299999999999999</v>
          </cell>
          <cell r="C1409" t="str">
            <v>8X16001HAF1</v>
          </cell>
          <cell r="D1409">
            <v>94600</v>
          </cell>
          <cell r="E1409">
            <v>41540</v>
          </cell>
        </row>
        <row r="1410">
          <cell r="A1410" t="str">
            <v>9X16001IA</v>
          </cell>
          <cell r="B1410">
            <v>1.1299999999999999</v>
          </cell>
          <cell r="C1410" t="str">
            <v>8X16001IAF1</v>
          </cell>
          <cell r="D1410">
            <v>94600</v>
          </cell>
          <cell r="E1410">
            <v>41540</v>
          </cell>
        </row>
        <row r="1411">
          <cell r="A1411" t="str">
            <v>9X16001KA</v>
          </cell>
          <cell r="B1411">
            <v>1.1299999999999999</v>
          </cell>
          <cell r="C1411" t="str">
            <v>8X16001KAF1</v>
          </cell>
          <cell r="D1411">
            <v>94600</v>
          </cell>
          <cell r="E1411">
            <v>41540</v>
          </cell>
        </row>
        <row r="1412">
          <cell r="A1412" t="str">
            <v>9X16002AA</v>
          </cell>
          <cell r="B1412">
            <v>2</v>
          </cell>
          <cell r="C1412" t="str">
            <v>8X16002AAF1</v>
          </cell>
          <cell r="D1412">
            <v>94600</v>
          </cell>
          <cell r="E1412">
            <v>41540</v>
          </cell>
        </row>
        <row r="1413">
          <cell r="A1413" t="str">
            <v>9X16002BA</v>
          </cell>
          <cell r="B1413">
            <v>2</v>
          </cell>
          <cell r="C1413" t="str">
            <v>8X16002BAF1</v>
          </cell>
          <cell r="D1413">
            <v>94600</v>
          </cell>
          <cell r="E1413">
            <v>41540</v>
          </cell>
        </row>
        <row r="1414">
          <cell r="A1414" t="str">
            <v>9X16002CB</v>
          </cell>
          <cell r="B1414">
            <v>2</v>
          </cell>
          <cell r="C1414" t="str">
            <v>8X16002CBF1</v>
          </cell>
          <cell r="D1414">
            <v>94600</v>
          </cell>
          <cell r="E1414">
            <v>41540</v>
          </cell>
        </row>
        <row r="1415">
          <cell r="A1415" t="str">
            <v>9X16002EA</v>
          </cell>
          <cell r="B1415">
            <v>1.9</v>
          </cell>
          <cell r="C1415" t="str">
            <v>8X16002EAF1</v>
          </cell>
          <cell r="D1415">
            <v>94600</v>
          </cell>
          <cell r="E1415">
            <v>41540</v>
          </cell>
        </row>
        <row r="1416">
          <cell r="A1416" t="str">
            <v>9X16002FA</v>
          </cell>
          <cell r="B1416">
            <v>1.1299999999999999</v>
          </cell>
          <cell r="C1416" t="str">
            <v>8X16002FAF1</v>
          </cell>
          <cell r="D1416">
            <v>94600</v>
          </cell>
          <cell r="E1416">
            <v>41540</v>
          </cell>
        </row>
        <row r="1417">
          <cell r="A1417" t="str">
            <v>9X16002GA</v>
          </cell>
          <cell r="B1417">
            <v>1.9</v>
          </cell>
          <cell r="C1417" t="str">
            <v>8X16002GAF1</v>
          </cell>
          <cell r="D1417">
            <v>94600</v>
          </cell>
          <cell r="E1417">
            <v>41540</v>
          </cell>
        </row>
        <row r="1418">
          <cell r="A1418" t="str">
            <v>9X16002HA</v>
          </cell>
          <cell r="B1418">
            <v>1.1299999999999999</v>
          </cell>
          <cell r="C1418" t="str">
            <v>8X16002HAF1</v>
          </cell>
          <cell r="D1418">
            <v>94600</v>
          </cell>
          <cell r="E1418">
            <v>41540</v>
          </cell>
        </row>
        <row r="1419">
          <cell r="A1419" t="str">
            <v>9X16002IA</v>
          </cell>
          <cell r="B1419">
            <v>1.3</v>
          </cell>
          <cell r="C1419" t="str">
            <v>8X16002IAF1</v>
          </cell>
          <cell r="D1419">
            <v>94600</v>
          </cell>
          <cell r="E1419">
            <v>41540</v>
          </cell>
        </row>
        <row r="1420">
          <cell r="A1420" t="str">
            <v>9X16002JA</v>
          </cell>
          <cell r="B1420">
            <v>1.1299999999999999</v>
          </cell>
          <cell r="C1420" t="str">
            <v>8X16002JAF1</v>
          </cell>
          <cell r="D1420">
            <v>94600</v>
          </cell>
          <cell r="E1420">
            <v>41540</v>
          </cell>
        </row>
        <row r="1421">
          <cell r="A1421" t="str">
            <v>9X16002LA</v>
          </cell>
          <cell r="B1421">
            <v>1.9</v>
          </cell>
          <cell r="C1421" t="str">
            <v>8X16002LAF1</v>
          </cell>
          <cell r="D1421">
            <v>94600</v>
          </cell>
          <cell r="E1421">
            <v>41540</v>
          </cell>
        </row>
        <row r="1422">
          <cell r="A1422" t="str">
            <v>9X16003EA</v>
          </cell>
          <cell r="B1422">
            <v>1.1299999999999999</v>
          </cell>
          <cell r="C1422" t="str">
            <v>8X16003EAF1</v>
          </cell>
          <cell r="D1422">
            <v>94600</v>
          </cell>
          <cell r="E1422">
            <v>41540</v>
          </cell>
        </row>
        <row r="1423">
          <cell r="A1423" t="str">
            <v>9X16003FA</v>
          </cell>
          <cell r="B1423">
            <v>1.1299999999999999</v>
          </cell>
          <cell r="C1423" t="str">
            <v>8X16003FAF1</v>
          </cell>
          <cell r="D1423">
            <v>94600</v>
          </cell>
          <cell r="E1423">
            <v>41540</v>
          </cell>
        </row>
        <row r="1424">
          <cell r="A1424" t="str">
            <v>9X16003GA</v>
          </cell>
          <cell r="B1424">
            <v>1.1299999999999999</v>
          </cell>
          <cell r="C1424" t="str">
            <v>8X16003GAF1</v>
          </cell>
          <cell r="D1424">
            <v>94600</v>
          </cell>
          <cell r="E1424">
            <v>41540</v>
          </cell>
        </row>
        <row r="1425">
          <cell r="A1425" t="str">
            <v>9X16004AA</v>
          </cell>
          <cell r="B1425">
            <v>1.1299999999999999</v>
          </cell>
          <cell r="C1425" t="str">
            <v>8X16004AAF1</v>
          </cell>
          <cell r="D1425">
            <v>94600</v>
          </cell>
          <cell r="E1425">
            <v>41540</v>
          </cell>
        </row>
        <row r="1426">
          <cell r="A1426" t="str">
            <v>9X16004BA</v>
          </cell>
          <cell r="B1426">
            <v>0</v>
          </cell>
          <cell r="C1426" t="str">
            <v>8X16004BAF1</v>
          </cell>
          <cell r="D1426">
            <v>94600</v>
          </cell>
          <cell r="E1426">
            <v>41540</v>
          </cell>
        </row>
        <row r="1427">
          <cell r="A1427" t="str">
            <v>9X16019AA</v>
          </cell>
          <cell r="B1427">
            <v>2</v>
          </cell>
          <cell r="C1427" t="str">
            <v>8X16019AAF1</v>
          </cell>
          <cell r="D1427">
            <v>94600</v>
          </cell>
          <cell r="E1427">
            <v>41540</v>
          </cell>
        </row>
        <row r="1428">
          <cell r="A1428" t="str">
            <v>9X16019CA</v>
          </cell>
          <cell r="B1428">
            <v>1.1299999999999999</v>
          </cell>
          <cell r="C1428" t="str">
            <v>8X16019CAF1</v>
          </cell>
          <cell r="D1428">
            <v>94600</v>
          </cell>
          <cell r="E1428">
            <v>41540</v>
          </cell>
        </row>
        <row r="1429">
          <cell r="A1429" t="str">
            <v>9X19901AB</v>
          </cell>
          <cell r="B1429">
            <v>2</v>
          </cell>
          <cell r="C1429" t="str">
            <v>8X19901ABF1</v>
          </cell>
          <cell r="D1429">
            <v>94600</v>
          </cell>
          <cell r="E1429">
            <v>41540</v>
          </cell>
        </row>
        <row r="1430">
          <cell r="A1430" t="str">
            <v>9X19901CA</v>
          </cell>
          <cell r="B1430">
            <v>2</v>
          </cell>
          <cell r="C1430" t="str">
            <v>8X19901CAF1</v>
          </cell>
          <cell r="D1430">
            <v>94600</v>
          </cell>
          <cell r="E1430">
            <v>41540</v>
          </cell>
        </row>
        <row r="1431">
          <cell r="A1431" t="str">
            <v>9X19901IA</v>
          </cell>
          <cell r="B1431">
            <v>0</v>
          </cell>
          <cell r="C1431" t="str">
            <v>8X19901IAF1</v>
          </cell>
          <cell r="D1431">
            <v>94600</v>
          </cell>
          <cell r="E1431">
            <v>41540</v>
          </cell>
        </row>
        <row r="1432">
          <cell r="A1432" t="str">
            <v>9X19904AA</v>
          </cell>
          <cell r="B1432">
            <v>2</v>
          </cell>
          <cell r="C1432" t="str">
            <v>8X19904AAF1</v>
          </cell>
          <cell r="D1432">
            <v>94600</v>
          </cell>
          <cell r="E1432">
            <v>41540</v>
          </cell>
        </row>
        <row r="1433">
          <cell r="A1433" t="str">
            <v>9X19911BA</v>
          </cell>
          <cell r="B1433">
            <v>2</v>
          </cell>
          <cell r="C1433" t="str">
            <v>8X19911BAF1</v>
          </cell>
          <cell r="D1433">
            <v>94600</v>
          </cell>
          <cell r="E1433">
            <v>41540</v>
          </cell>
        </row>
        <row r="1434">
          <cell r="A1434" t="str">
            <v>9X19917AA</v>
          </cell>
          <cell r="B1434">
            <v>2</v>
          </cell>
          <cell r="C1434" t="str">
            <v>8X19917AAF1</v>
          </cell>
          <cell r="D1434">
            <v>94600</v>
          </cell>
          <cell r="E1434">
            <v>41540</v>
          </cell>
        </row>
        <row r="1435">
          <cell r="A1435" t="str">
            <v>9X21002AA</v>
          </cell>
          <cell r="B1435">
            <v>1.1299999999999999</v>
          </cell>
          <cell r="C1435" t="str">
            <v>8X21002AAF1</v>
          </cell>
          <cell r="D1435">
            <v>94600</v>
          </cell>
          <cell r="E1435">
            <v>41540</v>
          </cell>
        </row>
        <row r="1436">
          <cell r="A1436" t="str">
            <v>9X21003AA</v>
          </cell>
          <cell r="B1436">
            <v>2</v>
          </cell>
          <cell r="C1436" t="str">
            <v>8X21003AAF1</v>
          </cell>
          <cell r="D1436">
            <v>94600</v>
          </cell>
          <cell r="E1436">
            <v>41540</v>
          </cell>
        </row>
        <row r="1437">
          <cell r="A1437" t="str">
            <v>9X21003AB</v>
          </cell>
          <cell r="B1437">
            <v>2</v>
          </cell>
          <cell r="C1437" t="str">
            <v>8X21003ABF1</v>
          </cell>
          <cell r="D1437">
            <v>94600</v>
          </cell>
          <cell r="E1437">
            <v>41540</v>
          </cell>
        </row>
        <row r="1438">
          <cell r="A1438" t="str">
            <v>9X21003BA</v>
          </cell>
          <cell r="B1438">
            <v>1.1299999999999999</v>
          </cell>
          <cell r="C1438" t="str">
            <v>8X21003BAF1</v>
          </cell>
          <cell r="D1438">
            <v>94600</v>
          </cell>
          <cell r="E1438">
            <v>41540</v>
          </cell>
        </row>
        <row r="1439">
          <cell r="A1439" t="str">
            <v>9X21003CA</v>
          </cell>
          <cell r="B1439">
            <v>1.1299999999999999</v>
          </cell>
          <cell r="C1439" t="str">
            <v>8X21003CAF1</v>
          </cell>
          <cell r="D1439">
            <v>94600</v>
          </cell>
          <cell r="E1439">
            <v>41540</v>
          </cell>
        </row>
        <row r="1440">
          <cell r="A1440" t="str">
            <v>9X21005AA</v>
          </cell>
          <cell r="B1440">
            <v>1.1299999999999999</v>
          </cell>
          <cell r="C1440" t="str">
            <v>8X21005AAF1</v>
          </cell>
          <cell r="D1440">
            <v>94600</v>
          </cell>
          <cell r="E1440">
            <v>41540</v>
          </cell>
        </row>
        <row r="1441">
          <cell r="A1441" t="str">
            <v>9X22002EB</v>
          </cell>
          <cell r="B1441">
            <v>2</v>
          </cell>
          <cell r="C1441" t="str">
            <v>8X22002EBF1</v>
          </cell>
          <cell r="D1441">
            <v>94600</v>
          </cell>
          <cell r="E1441">
            <v>41540</v>
          </cell>
        </row>
        <row r="1442">
          <cell r="A1442" t="str">
            <v>9X22002JA</v>
          </cell>
          <cell r="B1442">
            <v>1.3</v>
          </cell>
          <cell r="C1442" t="str">
            <v>8X22002JAF1</v>
          </cell>
          <cell r="D1442">
            <v>94600</v>
          </cell>
          <cell r="E1442">
            <v>41540</v>
          </cell>
        </row>
        <row r="1443">
          <cell r="A1443" t="str">
            <v>9X22002JB</v>
          </cell>
          <cell r="B1443">
            <v>1.1299999999999999</v>
          </cell>
          <cell r="C1443" t="str">
            <v>8X22002JAF1</v>
          </cell>
          <cell r="D1443">
            <v>94600</v>
          </cell>
          <cell r="E1443">
            <v>41540</v>
          </cell>
        </row>
        <row r="1444">
          <cell r="A1444" t="str">
            <v>9X22002KA</v>
          </cell>
          <cell r="B1444">
            <v>1.3</v>
          </cell>
          <cell r="C1444" t="str">
            <v>8X22002KAF1</v>
          </cell>
          <cell r="D1444">
            <v>94600</v>
          </cell>
          <cell r="E1444">
            <v>41540</v>
          </cell>
        </row>
        <row r="1445">
          <cell r="A1445" t="str">
            <v>9X22002KB</v>
          </cell>
          <cell r="B1445">
            <v>2</v>
          </cell>
          <cell r="C1445" t="str">
            <v>8X22002KBF1</v>
          </cell>
          <cell r="D1445">
            <v>94600</v>
          </cell>
          <cell r="E1445">
            <v>41540</v>
          </cell>
        </row>
        <row r="1446">
          <cell r="A1446" t="str">
            <v>9X23101AA</v>
          </cell>
          <cell r="B1446">
            <v>2</v>
          </cell>
          <cell r="C1446" t="str">
            <v>8X23101AAF1</v>
          </cell>
          <cell r="D1446">
            <v>94600</v>
          </cell>
          <cell r="E1446">
            <v>41540</v>
          </cell>
        </row>
        <row r="1447">
          <cell r="A1447" t="str">
            <v>9X23101EA</v>
          </cell>
          <cell r="B1447">
            <v>2</v>
          </cell>
          <cell r="C1447" t="str">
            <v>8X23101EAF1</v>
          </cell>
          <cell r="D1447">
            <v>94600</v>
          </cell>
          <cell r="E1447">
            <v>41540</v>
          </cell>
        </row>
        <row r="1448">
          <cell r="A1448" t="str">
            <v>9X23206AB</v>
          </cell>
          <cell r="B1448">
            <v>2</v>
          </cell>
          <cell r="C1448" t="str">
            <v>8X23206ABF1</v>
          </cell>
          <cell r="D1448">
            <v>94600</v>
          </cell>
          <cell r="E1448">
            <v>41540</v>
          </cell>
        </row>
        <row r="1449">
          <cell r="A1449" t="str">
            <v>9X23206DB</v>
          </cell>
          <cell r="B1449">
            <v>2</v>
          </cell>
          <cell r="C1449" t="str">
            <v>8X23206DAF1</v>
          </cell>
          <cell r="D1449">
            <v>94600</v>
          </cell>
          <cell r="E1449">
            <v>41540</v>
          </cell>
        </row>
        <row r="1450">
          <cell r="A1450" t="str">
            <v>9X23206GA</v>
          </cell>
          <cell r="B1450">
            <v>2</v>
          </cell>
          <cell r="C1450" t="str">
            <v>8X23206GAF1</v>
          </cell>
          <cell r="D1450">
            <v>94600</v>
          </cell>
          <cell r="E1450">
            <v>41540</v>
          </cell>
        </row>
        <row r="1451">
          <cell r="A1451" t="str">
            <v>9X23206HA</v>
          </cell>
          <cell r="B1451">
            <v>1.1299999999999999</v>
          </cell>
          <cell r="C1451" t="str">
            <v>8X23206HAF1</v>
          </cell>
          <cell r="D1451">
            <v>94600</v>
          </cell>
          <cell r="E1451">
            <v>41540</v>
          </cell>
        </row>
        <row r="1452">
          <cell r="A1452" t="str">
            <v>9X23206IA</v>
          </cell>
          <cell r="B1452">
            <v>1.1299999999999999</v>
          </cell>
          <cell r="C1452" t="str">
            <v>8X23206IAF1</v>
          </cell>
          <cell r="D1452">
            <v>94600</v>
          </cell>
          <cell r="E1452">
            <v>41540</v>
          </cell>
        </row>
        <row r="1453">
          <cell r="A1453" t="str">
            <v>9X23207AB</v>
          </cell>
          <cell r="B1453">
            <v>2</v>
          </cell>
          <cell r="C1453" t="str">
            <v>8X23207ABF1</v>
          </cell>
          <cell r="D1453">
            <v>94600</v>
          </cell>
          <cell r="E1453">
            <v>41540</v>
          </cell>
        </row>
        <row r="1454">
          <cell r="A1454" t="str">
            <v>9X23207EB</v>
          </cell>
          <cell r="B1454">
            <v>2.5</v>
          </cell>
          <cell r="C1454" t="str">
            <v>8X23207EAF1</v>
          </cell>
          <cell r="D1454">
            <v>94600</v>
          </cell>
          <cell r="E1454">
            <v>41540</v>
          </cell>
        </row>
        <row r="1455">
          <cell r="A1455" t="str">
            <v>9X23207HA</v>
          </cell>
          <cell r="B1455">
            <v>1.1299999999999999</v>
          </cell>
          <cell r="C1455" t="str">
            <v>8X23207HAF1</v>
          </cell>
          <cell r="D1455">
            <v>94600</v>
          </cell>
          <cell r="E1455">
            <v>41540</v>
          </cell>
        </row>
        <row r="1456">
          <cell r="A1456" t="str">
            <v>9X23207KA</v>
          </cell>
          <cell r="B1456">
            <v>1.9</v>
          </cell>
          <cell r="C1456" t="str">
            <v>8X23207KAF1</v>
          </cell>
          <cell r="D1456">
            <v>94600</v>
          </cell>
          <cell r="E1456">
            <v>41540</v>
          </cell>
        </row>
        <row r="1457">
          <cell r="A1457" t="str">
            <v>9X23208DB</v>
          </cell>
          <cell r="B1457">
            <v>2</v>
          </cell>
          <cell r="C1457" t="str">
            <v>8X23208DBF1</v>
          </cell>
          <cell r="D1457">
            <v>94600</v>
          </cell>
          <cell r="E1457">
            <v>41540</v>
          </cell>
        </row>
        <row r="1458">
          <cell r="A1458" t="str">
            <v>9X23208EA</v>
          </cell>
          <cell r="B1458">
            <v>1.1299999999999999</v>
          </cell>
          <cell r="C1458" t="str">
            <v>8X23208EAF1</v>
          </cell>
          <cell r="D1458">
            <v>94600</v>
          </cell>
          <cell r="E1458">
            <v>41540</v>
          </cell>
        </row>
        <row r="1459">
          <cell r="A1459" t="str">
            <v>9X23209AB</v>
          </cell>
          <cell r="B1459">
            <v>2</v>
          </cell>
          <cell r="C1459" t="str">
            <v>8X23209AAF1</v>
          </cell>
          <cell r="D1459">
            <v>94600</v>
          </cell>
          <cell r="E1459">
            <v>41540</v>
          </cell>
        </row>
        <row r="1460">
          <cell r="A1460" t="str">
            <v>9X23209KA</v>
          </cell>
          <cell r="B1460">
            <v>1.1299999999999999</v>
          </cell>
          <cell r="C1460" t="str">
            <v>8X23209KAF1</v>
          </cell>
          <cell r="D1460">
            <v>94600</v>
          </cell>
          <cell r="E1460">
            <v>41540</v>
          </cell>
        </row>
        <row r="1461">
          <cell r="A1461" t="str">
            <v>9X23209LA</v>
          </cell>
          <cell r="B1461">
            <v>1.2</v>
          </cell>
          <cell r="C1461" t="str">
            <v>8X23209LAF1</v>
          </cell>
          <cell r="D1461">
            <v>94600</v>
          </cell>
          <cell r="E1461">
            <v>41540</v>
          </cell>
        </row>
        <row r="1462">
          <cell r="A1462" t="str">
            <v>9X23209NA</v>
          </cell>
          <cell r="B1462">
            <v>1.2</v>
          </cell>
          <cell r="C1462" t="str">
            <v>8X23209NAF1</v>
          </cell>
          <cell r="D1462">
            <v>94600</v>
          </cell>
          <cell r="E1462">
            <v>41540</v>
          </cell>
        </row>
        <row r="1463">
          <cell r="A1463" t="str">
            <v>9X23210AA</v>
          </cell>
          <cell r="B1463">
            <v>2</v>
          </cell>
          <cell r="C1463" t="str">
            <v>8X23210AAF1</v>
          </cell>
          <cell r="D1463">
            <v>94600</v>
          </cell>
          <cell r="E1463">
            <v>41540</v>
          </cell>
        </row>
        <row r="1464">
          <cell r="A1464" t="str">
            <v>9X23212DA</v>
          </cell>
          <cell r="B1464">
            <v>1.1299999999999999</v>
          </cell>
          <cell r="C1464" t="str">
            <v>8X23212DAF1</v>
          </cell>
          <cell r="D1464">
            <v>94600</v>
          </cell>
          <cell r="E1464">
            <v>41540</v>
          </cell>
        </row>
        <row r="1465">
          <cell r="A1465" t="str">
            <v>9X23213AA</v>
          </cell>
          <cell r="B1465">
            <v>2</v>
          </cell>
          <cell r="C1465" t="str">
            <v>8X23213AAF1</v>
          </cell>
          <cell r="D1465">
            <v>94600</v>
          </cell>
          <cell r="E1465">
            <v>41540</v>
          </cell>
        </row>
        <row r="1466">
          <cell r="A1466" t="str">
            <v>9X23402AA</v>
          </cell>
          <cell r="B1466">
            <v>2</v>
          </cell>
          <cell r="C1466" t="str">
            <v>8X23402AAF1</v>
          </cell>
          <cell r="D1466">
            <v>94600</v>
          </cell>
          <cell r="E1466">
            <v>41540</v>
          </cell>
        </row>
        <row r="1467">
          <cell r="A1467" t="str">
            <v>9X24101AA</v>
          </cell>
          <cell r="B1467">
            <v>2</v>
          </cell>
          <cell r="C1467" t="str">
            <v>8X24101AAF1</v>
          </cell>
          <cell r="D1467">
            <v>94600</v>
          </cell>
          <cell r="E1467">
            <v>41540</v>
          </cell>
        </row>
        <row r="1468">
          <cell r="A1468" t="str">
            <v>9X24101BA</v>
          </cell>
          <cell r="B1468">
            <v>2</v>
          </cell>
          <cell r="C1468" t="str">
            <v>8X24101BAF1</v>
          </cell>
          <cell r="D1468">
            <v>94600</v>
          </cell>
          <cell r="E1468">
            <v>41540</v>
          </cell>
        </row>
        <row r="1469">
          <cell r="A1469" t="str">
            <v>9X24102AA</v>
          </cell>
          <cell r="B1469">
            <v>2</v>
          </cell>
          <cell r="C1469" t="str">
            <v>8X24102AAF1</v>
          </cell>
          <cell r="D1469">
            <v>94600</v>
          </cell>
          <cell r="E1469">
            <v>41540</v>
          </cell>
        </row>
        <row r="1470">
          <cell r="A1470" t="str">
            <v>9X25201AA</v>
          </cell>
          <cell r="B1470">
            <v>1.1299999999999999</v>
          </cell>
          <cell r="C1470" t="str">
            <v>8X25201AAF1</v>
          </cell>
          <cell r="D1470">
            <v>94600</v>
          </cell>
          <cell r="E1470">
            <v>41540</v>
          </cell>
        </row>
        <row r="1471">
          <cell r="A1471" t="str">
            <v>9X31002AA</v>
          </cell>
          <cell r="B1471">
            <v>4.3099999999999996</v>
          </cell>
          <cell r="C1471" t="str">
            <v>8X31002AAF1</v>
          </cell>
          <cell r="D1471">
            <v>94600</v>
          </cell>
          <cell r="E1471">
            <v>41540</v>
          </cell>
        </row>
        <row r="1472">
          <cell r="A1472" t="str">
            <v>9X33202AA</v>
          </cell>
          <cell r="B1472">
            <v>2</v>
          </cell>
          <cell r="C1472" t="str">
            <v>8X33202AAF1</v>
          </cell>
          <cell r="D1472">
            <v>94600</v>
          </cell>
          <cell r="E1472">
            <v>41540</v>
          </cell>
        </row>
        <row r="1473">
          <cell r="A1473" t="str">
            <v>9X33202BA</v>
          </cell>
          <cell r="B1473">
            <v>2.8</v>
          </cell>
          <cell r="C1473" t="str">
            <v>8X33202BAF1</v>
          </cell>
          <cell r="D1473">
            <v>94600</v>
          </cell>
          <cell r="E1473">
            <v>41540</v>
          </cell>
        </row>
        <row r="1474">
          <cell r="A1474" t="str">
            <v>9X33204AA</v>
          </cell>
          <cell r="B1474">
            <v>2</v>
          </cell>
          <cell r="C1474" t="str">
            <v>8X33204AAF1</v>
          </cell>
          <cell r="D1474">
            <v>94600</v>
          </cell>
          <cell r="E1474">
            <v>41540</v>
          </cell>
        </row>
        <row r="1475">
          <cell r="A1475" t="str">
            <v>9X33204BA</v>
          </cell>
          <cell r="B1475">
            <v>2</v>
          </cell>
          <cell r="C1475" t="str">
            <v>8X33204BAF1</v>
          </cell>
          <cell r="D1475">
            <v>94600</v>
          </cell>
          <cell r="E1475">
            <v>41540</v>
          </cell>
        </row>
        <row r="1476">
          <cell r="A1476" t="str">
            <v>9X33204CA</v>
          </cell>
          <cell r="B1476">
            <v>2.8</v>
          </cell>
          <cell r="C1476" t="str">
            <v>8X33204CAF1</v>
          </cell>
          <cell r="D1476">
            <v>94600</v>
          </cell>
          <cell r="E1476">
            <v>41540</v>
          </cell>
        </row>
        <row r="1477">
          <cell r="A1477" t="str">
            <v>9X33205AA</v>
          </cell>
          <cell r="B1477">
            <v>4.3099999999999996</v>
          </cell>
          <cell r="C1477" t="str">
            <v>8X33205AAF1</v>
          </cell>
          <cell r="D1477">
            <v>94600</v>
          </cell>
          <cell r="E1477">
            <v>41540</v>
          </cell>
        </row>
        <row r="1478">
          <cell r="A1478" t="str">
            <v>9X33207AA</v>
          </cell>
          <cell r="B1478">
            <v>4.3099999999999996</v>
          </cell>
          <cell r="C1478" t="str">
            <v>8X33207AAF1</v>
          </cell>
          <cell r="D1478">
            <v>94600</v>
          </cell>
          <cell r="E1478">
            <v>41540</v>
          </cell>
        </row>
        <row r="1479">
          <cell r="A1479" t="str">
            <v>9X33207BA</v>
          </cell>
          <cell r="B1479">
            <v>2</v>
          </cell>
          <cell r="C1479" t="str">
            <v>8X33207BAF1</v>
          </cell>
          <cell r="D1479">
            <v>94600</v>
          </cell>
          <cell r="E1479">
            <v>41540</v>
          </cell>
        </row>
        <row r="1480">
          <cell r="A1480" t="str">
            <v>9X33210AA</v>
          </cell>
          <cell r="B1480">
            <v>4.3099999999999996</v>
          </cell>
          <cell r="C1480" t="str">
            <v>8X33210AAF1</v>
          </cell>
          <cell r="D1480">
            <v>94600</v>
          </cell>
          <cell r="E1480">
            <v>41540</v>
          </cell>
        </row>
        <row r="1481">
          <cell r="A1481" t="str">
            <v>9X33211AA</v>
          </cell>
          <cell r="B1481">
            <v>4.3099999999999996</v>
          </cell>
          <cell r="C1481" t="str">
            <v>8X33211AAF1</v>
          </cell>
          <cell r="D1481">
            <v>94600</v>
          </cell>
          <cell r="E1481">
            <v>41540</v>
          </cell>
        </row>
        <row r="1482">
          <cell r="A1482" t="str">
            <v>9X33212AA</v>
          </cell>
          <cell r="B1482">
            <v>4.3099999999999996</v>
          </cell>
          <cell r="C1482" t="str">
            <v>8X33212AAF1</v>
          </cell>
          <cell r="D1482">
            <v>94600</v>
          </cell>
          <cell r="E1482">
            <v>41540</v>
          </cell>
        </row>
        <row r="1483">
          <cell r="A1483" t="str">
            <v>9X33214AA</v>
          </cell>
          <cell r="B1483">
            <v>4.3099999999999996</v>
          </cell>
          <cell r="C1483" t="str">
            <v>8X33214AAF1</v>
          </cell>
          <cell r="D1483">
            <v>94600</v>
          </cell>
          <cell r="E1483">
            <v>41540</v>
          </cell>
        </row>
        <row r="1484">
          <cell r="A1484" t="str">
            <v>9X33215AA</v>
          </cell>
          <cell r="B1484">
            <v>4.3099999999999996</v>
          </cell>
          <cell r="C1484" t="str">
            <v>8X33215AAF1</v>
          </cell>
          <cell r="D1484">
            <v>94600</v>
          </cell>
          <cell r="E1484">
            <v>41540</v>
          </cell>
        </row>
        <row r="1485">
          <cell r="A1485" t="str">
            <v>9X33216AA</v>
          </cell>
          <cell r="B1485">
            <v>4.3099999999999996</v>
          </cell>
          <cell r="C1485" t="str">
            <v>8X33216AAF1</v>
          </cell>
          <cell r="D1485">
            <v>94600</v>
          </cell>
          <cell r="E1485">
            <v>41540</v>
          </cell>
        </row>
        <row r="1486">
          <cell r="A1486" t="str">
            <v>9X50201AA</v>
          </cell>
          <cell r="B1486">
            <v>11.2</v>
          </cell>
          <cell r="C1486" t="str">
            <v>8X50201AAF1</v>
          </cell>
          <cell r="D1486">
            <v>94600</v>
          </cell>
          <cell r="E1486">
            <v>41540</v>
          </cell>
        </row>
      </sheetData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4"/>
  <dimension ref="A1:E411"/>
  <sheetViews>
    <sheetView tabSelected="1" topLeftCell="A211" workbookViewId="0">
      <selection activeCell="A234" sqref="A234"/>
    </sheetView>
  </sheetViews>
  <sheetFormatPr defaultRowHeight="15"/>
  <cols>
    <col min="1" max="1" width="12" bestFit="1" customWidth="1"/>
    <col min="2" max="2" width="13.85546875" bestFit="1" customWidth="1"/>
    <col min="3" max="3" width="14.5703125" bestFit="1" customWidth="1"/>
    <col min="4" max="4" width="9.7109375" bestFit="1" customWidth="1"/>
    <col min="5" max="8" width="12" bestFit="1" customWidth="1"/>
    <col min="9" max="10" width="12.7109375" bestFit="1" customWidth="1"/>
    <col min="11" max="11" width="11.85546875" bestFit="1" customWidth="1"/>
    <col min="12" max="13" width="12" bestFit="1" customWidth="1"/>
    <col min="39" max="39" width="10.28515625" bestFit="1" customWidth="1"/>
  </cols>
  <sheetData>
    <row r="1" spans="1:5">
      <c r="A1" t="s">
        <v>978</v>
      </c>
      <c r="B1" t="s">
        <v>973</v>
      </c>
      <c r="C1" t="s">
        <v>963</v>
      </c>
      <c r="D1" t="s">
        <v>974</v>
      </c>
      <c r="E1" t="s">
        <v>977</v>
      </c>
    </row>
    <row r="2" spans="1:5">
      <c r="A2">
        <v>0</v>
      </c>
      <c r="B2" s="64">
        <v>42005</v>
      </c>
      <c r="C2" t="s">
        <v>8</v>
      </c>
      <c r="D2">
        <v>10115</v>
      </c>
      <c r="E2">
        <v>11580542</v>
      </c>
    </row>
    <row r="3" spans="1:5">
      <c r="A3">
        <v>0</v>
      </c>
      <c r="B3" s="64">
        <v>42009</v>
      </c>
      <c r="C3" t="s">
        <v>8</v>
      </c>
      <c r="D3">
        <v>10115</v>
      </c>
      <c r="E3">
        <v>8876936</v>
      </c>
    </row>
    <row r="4" spans="1:5">
      <c r="A4">
        <v>0</v>
      </c>
      <c r="B4" s="64">
        <v>42013</v>
      </c>
      <c r="C4" t="s">
        <v>8</v>
      </c>
      <c r="D4">
        <v>10115</v>
      </c>
      <c r="E4">
        <v>12710673</v>
      </c>
    </row>
    <row r="5" spans="1:5">
      <c r="A5">
        <v>0</v>
      </c>
      <c r="B5" s="64">
        <v>42017</v>
      </c>
      <c r="C5" t="s">
        <v>8</v>
      </c>
      <c r="D5">
        <v>10115</v>
      </c>
      <c r="E5">
        <v>12934581</v>
      </c>
    </row>
    <row r="6" spans="1:5">
      <c r="A6">
        <v>0</v>
      </c>
      <c r="B6" s="64">
        <v>42021</v>
      </c>
      <c r="C6" t="s">
        <v>8</v>
      </c>
      <c r="D6">
        <v>10115</v>
      </c>
      <c r="E6">
        <v>12871474</v>
      </c>
    </row>
    <row r="7" spans="1:5">
      <c r="A7">
        <v>0</v>
      </c>
      <c r="B7" s="64">
        <v>42025</v>
      </c>
      <c r="C7" t="s">
        <v>8</v>
      </c>
      <c r="D7">
        <v>10115</v>
      </c>
      <c r="E7">
        <v>22905117</v>
      </c>
    </row>
    <row r="8" spans="1:5">
      <c r="A8">
        <v>0</v>
      </c>
      <c r="B8" s="64">
        <v>42029</v>
      </c>
      <c r="C8" t="s">
        <v>8</v>
      </c>
      <c r="D8">
        <v>10115</v>
      </c>
      <c r="E8">
        <v>14077361</v>
      </c>
    </row>
    <row r="9" spans="1:5">
      <c r="A9">
        <v>0</v>
      </c>
      <c r="B9" s="64">
        <v>42033</v>
      </c>
      <c r="C9" t="s">
        <v>8</v>
      </c>
      <c r="D9">
        <v>10215</v>
      </c>
      <c r="E9">
        <v>8216261</v>
      </c>
    </row>
    <row r="10" spans="1:5">
      <c r="A10">
        <v>0</v>
      </c>
      <c r="B10" s="64">
        <v>42037</v>
      </c>
      <c r="C10" t="s">
        <v>8</v>
      </c>
      <c r="D10">
        <v>10215</v>
      </c>
      <c r="E10">
        <v>5468894</v>
      </c>
    </row>
    <row r="11" spans="1:5">
      <c r="A11">
        <v>0</v>
      </c>
      <c r="B11" s="64">
        <v>42041</v>
      </c>
      <c r="C11" t="s">
        <v>8</v>
      </c>
      <c r="D11">
        <v>10215</v>
      </c>
      <c r="E11">
        <v>9485510</v>
      </c>
    </row>
    <row r="12" spans="1:5">
      <c r="A12">
        <v>0</v>
      </c>
      <c r="B12" s="64">
        <v>42045</v>
      </c>
      <c r="C12" t="s">
        <v>8</v>
      </c>
      <c r="D12">
        <v>10215</v>
      </c>
      <c r="E12">
        <v>1598162</v>
      </c>
    </row>
    <row r="13" spans="1:5">
      <c r="A13">
        <v>0</v>
      </c>
      <c r="B13" s="64">
        <v>42049</v>
      </c>
      <c r="C13" t="s">
        <v>8</v>
      </c>
      <c r="D13">
        <v>10215</v>
      </c>
      <c r="E13">
        <v>14254425</v>
      </c>
    </row>
    <row r="14" spans="1:5">
      <c r="A14">
        <v>0</v>
      </c>
      <c r="B14" s="64">
        <v>42053</v>
      </c>
      <c r="C14" t="s">
        <v>8</v>
      </c>
      <c r="D14">
        <v>10215</v>
      </c>
      <c r="E14">
        <v>17101605</v>
      </c>
    </row>
    <row r="15" spans="1:5">
      <c r="A15">
        <v>0</v>
      </c>
      <c r="B15" s="64">
        <v>42057</v>
      </c>
      <c r="C15" t="s">
        <v>8</v>
      </c>
      <c r="D15">
        <v>10215</v>
      </c>
      <c r="E15">
        <v>9404260</v>
      </c>
    </row>
    <row r="16" spans="1:5">
      <c r="A16">
        <v>0</v>
      </c>
      <c r="B16" s="64">
        <v>42061</v>
      </c>
      <c r="C16" t="s">
        <v>8</v>
      </c>
      <c r="D16">
        <v>10215</v>
      </c>
      <c r="E16">
        <v>10465139</v>
      </c>
    </row>
    <row r="17" spans="1:5">
      <c r="A17">
        <v>0</v>
      </c>
      <c r="B17" s="64">
        <v>42061</v>
      </c>
      <c r="C17" t="s">
        <v>8</v>
      </c>
      <c r="D17">
        <v>10315</v>
      </c>
      <c r="E17">
        <v>10465139</v>
      </c>
    </row>
    <row r="18" spans="1:5">
      <c r="A18">
        <v>0</v>
      </c>
      <c r="B18" s="64">
        <v>42065</v>
      </c>
      <c r="C18" t="s">
        <v>8</v>
      </c>
      <c r="D18">
        <v>10315</v>
      </c>
      <c r="E18">
        <v>12069510</v>
      </c>
    </row>
    <row r="19" spans="1:5">
      <c r="A19">
        <v>0</v>
      </c>
      <c r="B19" s="64">
        <v>42069</v>
      </c>
      <c r="C19" t="s">
        <v>18</v>
      </c>
      <c r="D19">
        <v>10315</v>
      </c>
      <c r="E19">
        <v>18945536</v>
      </c>
    </row>
    <row r="20" spans="1:5">
      <c r="A20">
        <v>0</v>
      </c>
      <c r="B20" s="64">
        <v>42073</v>
      </c>
      <c r="C20" t="s">
        <v>18</v>
      </c>
      <c r="D20">
        <v>10315</v>
      </c>
      <c r="E20">
        <v>6202408</v>
      </c>
    </row>
    <row r="21" spans="1:5">
      <c r="A21">
        <v>0</v>
      </c>
      <c r="B21" s="64">
        <v>42077</v>
      </c>
      <c r="C21" t="s">
        <v>18</v>
      </c>
      <c r="D21">
        <v>10315</v>
      </c>
      <c r="E21">
        <v>7879382</v>
      </c>
    </row>
    <row r="22" spans="1:5">
      <c r="A22">
        <v>0</v>
      </c>
      <c r="B22" s="64">
        <v>42081</v>
      </c>
      <c r="C22" t="s">
        <v>8</v>
      </c>
      <c r="D22">
        <v>10315</v>
      </c>
      <c r="E22">
        <v>9513835</v>
      </c>
    </row>
    <row r="23" spans="1:5">
      <c r="A23">
        <v>0</v>
      </c>
      <c r="B23" s="64">
        <v>42085</v>
      </c>
      <c r="C23" t="s">
        <v>8</v>
      </c>
      <c r="D23">
        <v>10315</v>
      </c>
      <c r="E23">
        <v>6688361</v>
      </c>
    </row>
    <row r="24" spans="1:5">
      <c r="A24">
        <v>0</v>
      </c>
      <c r="B24" s="64">
        <v>42089</v>
      </c>
      <c r="C24" t="s">
        <v>8</v>
      </c>
      <c r="D24">
        <v>10315</v>
      </c>
      <c r="E24">
        <v>10973896</v>
      </c>
    </row>
    <row r="25" spans="1:5">
      <c r="A25">
        <v>0</v>
      </c>
      <c r="B25" s="64">
        <v>42093</v>
      </c>
      <c r="C25" t="s">
        <v>8</v>
      </c>
      <c r="D25">
        <v>10315</v>
      </c>
      <c r="E25">
        <v>17074085</v>
      </c>
    </row>
    <row r="26" spans="1:5">
      <c r="A26">
        <v>0</v>
      </c>
      <c r="B26" s="64">
        <v>42093</v>
      </c>
      <c r="C26" t="s">
        <v>8</v>
      </c>
      <c r="D26">
        <v>10415</v>
      </c>
      <c r="E26">
        <v>17074085</v>
      </c>
    </row>
    <row r="27" spans="1:5">
      <c r="A27">
        <v>0</v>
      </c>
      <c r="B27" s="64">
        <v>42097</v>
      </c>
      <c r="C27" t="s">
        <v>8</v>
      </c>
      <c r="D27">
        <v>10415</v>
      </c>
      <c r="E27">
        <v>16357006</v>
      </c>
    </row>
    <row r="28" spans="1:5">
      <c r="A28">
        <v>0</v>
      </c>
      <c r="B28" s="64">
        <v>42101</v>
      </c>
      <c r="C28" t="s">
        <v>8</v>
      </c>
      <c r="D28">
        <v>10415</v>
      </c>
      <c r="E28">
        <v>4019641</v>
      </c>
    </row>
    <row r="29" spans="1:5">
      <c r="A29">
        <v>0</v>
      </c>
      <c r="B29" s="64">
        <v>42105</v>
      </c>
      <c r="C29" t="s">
        <v>22</v>
      </c>
      <c r="D29">
        <v>10415</v>
      </c>
      <c r="E29">
        <v>10932335</v>
      </c>
    </row>
    <row r="30" spans="1:5">
      <c r="A30">
        <v>0</v>
      </c>
      <c r="B30" s="64">
        <v>42109</v>
      </c>
      <c r="C30" t="s">
        <v>22</v>
      </c>
      <c r="D30">
        <v>10415</v>
      </c>
      <c r="E30">
        <v>8274560</v>
      </c>
    </row>
    <row r="31" spans="1:5">
      <c r="A31">
        <v>0</v>
      </c>
      <c r="B31" s="64">
        <v>42113</v>
      </c>
      <c r="C31" t="s">
        <v>22</v>
      </c>
      <c r="D31">
        <v>10415</v>
      </c>
      <c r="E31">
        <v>18861010</v>
      </c>
    </row>
    <row r="32" spans="1:5">
      <c r="A32">
        <v>0</v>
      </c>
      <c r="B32" s="64">
        <v>42117</v>
      </c>
      <c r="C32" t="s">
        <v>22</v>
      </c>
      <c r="D32">
        <v>10415</v>
      </c>
      <c r="E32">
        <v>4353674</v>
      </c>
    </row>
    <row r="33" spans="1:5">
      <c r="A33">
        <v>0</v>
      </c>
      <c r="B33" s="64">
        <v>42121</v>
      </c>
      <c r="C33" t="s">
        <v>22</v>
      </c>
      <c r="D33">
        <v>10415</v>
      </c>
      <c r="E33">
        <v>9315144</v>
      </c>
    </row>
    <row r="34" spans="1:5">
      <c r="A34">
        <v>0</v>
      </c>
      <c r="B34" s="64">
        <v>42005</v>
      </c>
      <c r="C34" t="s">
        <v>8</v>
      </c>
      <c r="D34">
        <v>10115</v>
      </c>
      <c r="E34">
        <v>1821425</v>
      </c>
    </row>
    <row r="35" spans="1:5">
      <c r="A35">
        <v>0</v>
      </c>
      <c r="B35" s="64">
        <v>42009</v>
      </c>
      <c r="C35" t="s">
        <v>8</v>
      </c>
      <c r="D35">
        <v>10115</v>
      </c>
      <c r="E35">
        <v>14940648</v>
      </c>
    </row>
    <row r="36" spans="1:5">
      <c r="A36">
        <v>0</v>
      </c>
      <c r="B36" s="64">
        <v>42013</v>
      </c>
      <c r="C36" t="s">
        <v>8</v>
      </c>
      <c r="D36">
        <v>10115</v>
      </c>
      <c r="E36">
        <v>5410659</v>
      </c>
    </row>
    <row r="37" spans="1:5">
      <c r="A37">
        <v>0</v>
      </c>
      <c r="B37" s="64">
        <v>42017</v>
      </c>
      <c r="C37" t="s">
        <v>8</v>
      </c>
      <c r="D37">
        <v>10115</v>
      </c>
      <c r="E37">
        <v>12705727</v>
      </c>
    </row>
    <row r="38" spans="1:5">
      <c r="A38">
        <v>0</v>
      </c>
      <c r="B38" s="64">
        <v>42021</v>
      </c>
      <c r="C38" t="s">
        <v>8</v>
      </c>
      <c r="D38">
        <v>10115</v>
      </c>
      <c r="E38">
        <v>10651961</v>
      </c>
    </row>
    <row r="39" spans="1:5">
      <c r="A39">
        <v>0</v>
      </c>
      <c r="B39" s="64">
        <v>42025</v>
      </c>
      <c r="C39" t="s">
        <v>8</v>
      </c>
      <c r="D39">
        <v>10115</v>
      </c>
      <c r="E39">
        <v>2980144</v>
      </c>
    </row>
    <row r="40" spans="1:5">
      <c r="A40">
        <v>0</v>
      </c>
      <c r="B40" s="64">
        <v>42029</v>
      </c>
      <c r="C40" t="s">
        <v>8</v>
      </c>
      <c r="D40">
        <v>10115</v>
      </c>
      <c r="E40">
        <v>11654886</v>
      </c>
    </row>
    <row r="41" spans="1:5">
      <c r="A41">
        <v>0</v>
      </c>
      <c r="B41" s="64">
        <v>42033</v>
      </c>
      <c r="C41" t="s">
        <v>8</v>
      </c>
      <c r="D41">
        <v>10215</v>
      </c>
      <c r="E41">
        <v>7197235</v>
      </c>
    </row>
    <row r="42" spans="1:5">
      <c r="A42">
        <v>0</v>
      </c>
      <c r="B42" s="64">
        <v>42037</v>
      </c>
      <c r="C42" t="s">
        <v>22</v>
      </c>
      <c r="D42">
        <v>10215</v>
      </c>
      <c r="E42">
        <v>11416378</v>
      </c>
    </row>
    <row r="43" spans="1:5">
      <c r="A43">
        <v>0</v>
      </c>
      <c r="B43" s="64">
        <v>42041</v>
      </c>
      <c r="C43" t="s">
        <v>22</v>
      </c>
      <c r="D43">
        <v>10215</v>
      </c>
      <c r="E43">
        <v>13822964</v>
      </c>
    </row>
    <row r="44" spans="1:5">
      <c r="A44">
        <v>0</v>
      </c>
      <c r="B44" s="64">
        <v>42045</v>
      </c>
      <c r="C44" t="s">
        <v>22</v>
      </c>
      <c r="D44">
        <v>10215</v>
      </c>
      <c r="E44">
        <v>8285086</v>
      </c>
    </row>
    <row r="45" spans="1:5">
      <c r="A45">
        <v>0</v>
      </c>
      <c r="B45" s="64">
        <v>42049</v>
      </c>
      <c r="C45" t="s">
        <v>22</v>
      </c>
      <c r="D45">
        <v>10215</v>
      </c>
      <c r="E45">
        <v>20178625</v>
      </c>
    </row>
    <row r="46" spans="1:5">
      <c r="A46">
        <v>0</v>
      </c>
      <c r="B46" s="64">
        <v>42053</v>
      </c>
      <c r="C46" t="s">
        <v>22</v>
      </c>
      <c r="D46">
        <v>10215</v>
      </c>
      <c r="E46">
        <v>16579832</v>
      </c>
    </row>
    <row r="47" spans="1:5">
      <c r="A47">
        <v>0</v>
      </c>
      <c r="B47" s="64">
        <v>42057</v>
      </c>
      <c r="C47" t="s">
        <v>22</v>
      </c>
      <c r="D47">
        <v>10215</v>
      </c>
      <c r="E47">
        <v>13739039</v>
      </c>
    </row>
    <row r="48" spans="1:5">
      <c r="A48">
        <v>0</v>
      </c>
      <c r="B48" s="64">
        <v>42061</v>
      </c>
      <c r="C48" t="s">
        <v>941</v>
      </c>
      <c r="D48">
        <v>10215</v>
      </c>
      <c r="E48">
        <v>13396128</v>
      </c>
    </row>
    <row r="49" spans="1:5">
      <c r="A49">
        <v>0</v>
      </c>
      <c r="B49" s="64">
        <v>42061</v>
      </c>
      <c r="C49" t="s">
        <v>941</v>
      </c>
      <c r="D49">
        <v>10315</v>
      </c>
      <c r="E49">
        <v>13396128</v>
      </c>
    </row>
    <row r="50" spans="1:5">
      <c r="A50">
        <v>0</v>
      </c>
      <c r="B50" s="64">
        <v>42065</v>
      </c>
      <c r="C50" t="s">
        <v>22</v>
      </c>
      <c r="D50">
        <v>10315</v>
      </c>
      <c r="E50">
        <v>7144874</v>
      </c>
    </row>
    <row r="51" spans="1:5">
      <c r="A51">
        <v>0</v>
      </c>
      <c r="B51" s="64">
        <v>42069</v>
      </c>
      <c r="C51" t="s">
        <v>18</v>
      </c>
      <c r="D51">
        <v>10315</v>
      </c>
      <c r="E51">
        <v>7002031</v>
      </c>
    </row>
    <row r="52" spans="1:5">
      <c r="A52">
        <v>0</v>
      </c>
      <c r="B52" s="64">
        <v>42073</v>
      </c>
      <c r="C52" t="s">
        <v>18</v>
      </c>
      <c r="D52">
        <v>10315</v>
      </c>
      <c r="E52">
        <v>8819008</v>
      </c>
    </row>
    <row r="53" spans="1:5">
      <c r="A53">
        <v>0</v>
      </c>
      <c r="B53" s="64">
        <v>42077</v>
      </c>
      <c r="C53" t="s">
        <v>18</v>
      </c>
      <c r="D53">
        <v>10315</v>
      </c>
      <c r="E53">
        <v>13443961</v>
      </c>
    </row>
    <row r="54" spans="1:5">
      <c r="A54">
        <v>0</v>
      </c>
      <c r="B54" s="64">
        <v>42081</v>
      </c>
      <c r="C54" t="s">
        <v>18</v>
      </c>
      <c r="D54">
        <v>10315</v>
      </c>
      <c r="E54">
        <v>5359568</v>
      </c>
    </row>
    <row r="55" spans="1:5">
      <c r="A55">
        <v>0</v>
      </c>
      <c r="B55" s="64">
        <v>42085</v>
      </c>
      <c r="C55" t="s">
        <v>943</v>
      </c>
      <c r="D55">
        <v>10315</v>
      </c>
      <c r="E55">
        <v>13122417</v>
      </c>
    </row>
    <row r="56" spans="1:5">
      <c r="A56">
        <v>0</v>
      </c>
      <c r="B56" s="64">
        <v>42089</v>
      </c>
      <c r="C56" t="s">
        <v>943</v>
      </c>
      <c r="D56">
        <v>10315</v>
      </c>
      <c r="E56">
        <v>13933405</v>
      </c>
    </row>
    <row r="57" spans="1:5">
      <c r="A57">
        <v>0</v>
      </c>
      <c r="B57" s="64">
        <v>42093</v>
      </c>
      <c r="C57" t="s">
        <v>943</v>
      </c>
      <c r="D57">
        <v>10315</v>
      </c>
      <c r="E57">
        <v>6323819</v>
      </c>
    </row>
    <row r="58" spans="1:5">
      <c r="A58">
        <v>0</v>
      </c>
      <c r="B58" s="64">
        <v>42093</v>
      </c>
      <c r="C58" t="s">
        <v>943</v>
      </c>
      <c r="D58">
        <v>10415</v>
      </c>
      <c r="E58">
        <v>6323819</v>
      </c>
    </row>
    <row r="59" spans="1:5">
      <c r="A59">
        <v>0</v>
      </c>
      <c r="B59" s="64">
        <v>42097</v>
      </c>
      <c r="C59" t="s">
        <v>943</v>
      </c>
      <c r="D59">
        <v>10415</v>
      </c>
      <c r="E59">
        <v>10683415</v>
      </c>
    </row>
    <row r="60" spans="1:5">
      <c r="A60">
        <v>0</v>
      </c>
      <c r="B60" s="64">
        <v>42101</v>
      </c>
      <c r="C60" t="s">
        <v>943</v>
      </c>
      <c r="D60">
        <v>10415</v>
      </c>
      <c r="E60">
        <v>7540767</v>
      </c>
    </row>
    <row r="61" spans="1:5">
      <c r="A61">
        <v>0</v>
      </c>
      <c r="B61" s="64">
        <v>42105</v>
      </c>
      <c r="C61" t="s">
        <v>943</v>
      </c>
      <c r="D61">
        <v>10415</v>
      </c>
      <c r="E61">
        <v>11838930</v>
      </c>
    </row>
    <row r="62" spans="1:5">
      <c r="A62">
        <v>0</v>
      </c>
      <c r="B62" s="64">
        <v>42109</v>
      </c>
      <c r="C62" t="s">
        <v>943</v>
      </c>
      <c r="D62">
        <v>10415</v>
      </c>
      <c r="E62">
        <v>10404349</v>
      </c>
    </row>
    <row r="63" spans="1:5">
      <c r="A63">
        <v>0</v>
      </c>
      <c r="B63" s="64">
        <v>42113</v>
      </c>
      <c r="C63" t="s">
        <v>22</v>
      </c>
      <c r="D63">
        <v>10415</v>
      </c>
      <c r="E63">
        <v>9829876</v>
      </c>
    </row>
    <row r="64" spans="1:5">
      <c r="A64">
        <v>0</v>
      </c>
      <c r="B64" s="64">
        <v>42117</v>
      </c>
      <c r="C64" t="s">
        <v>22</v>
      </c>
      <c r="D64">
        <v>10415</v>
      </c>
      <c r="E64">
        <v>11414677</v>
      </c>
    </row>
    <row r="65" spans="1:5">
      <c r="A65">
        <v>0</v>
      </c>
      <c r="B65" s="64">
        <v>42121</v>
      </c>
      <c r="C65" t="s">
        <v>8</v>
      </c>
      <c r="D65">
        <v>10415</v>
      </c>
      <c r="E65">
        <v>11359732</v>
      </c>
    </row>
    <row r="66" spans="1:5">
      <c r="A66">
        <v>0</v>
      </c>
      <c r="B66" s="64">
        <v>42005</v>
      </c>
      <c r="C66" t="s">
        <v>8</v>
      </c>
      <c r="D66">
        <v>10115</v>
      </c>
      <c r="E66">
        <v>12127520</v>
      </c>
    </row>
    <row r="67" spans="1:5">
      <c r="A67">
        <v>0</v>
      </c>
      <c r="B67" s="64">
        <v>42009</v>
      </c>
      <c r="C67" t="s">
        <v>945</v>
      </c>
      <c r="D67">
        <v>10115</v>
      </c>
      <c r="E67">
        <v>10025481</v>
      </c>
    </row>
    <row r="68" spans="1:5">
      <c r="A68">
        <v>0</v>
      </c>
      <c r="B68" s="64">
        <v>42013</v>
      </c>
      <c r="C68" t="s">
        <v>945</v>
      </c>
      <c r="D68">
        <v>10115</v>
      </c>
      <c r="E68">
        <v>3082062</v>
      </c>
    </row>
    <row r="69" spans="1:5">
      <c r="A69">
        <v>0</v>
      </c>
      <c r="B69" s="64">
        <v>42017</v>
      </c>
      <c r="C69" t="s">
        <v>945</v>
      </c>
      <c r="D69">
        <v>10115</v>
      </c>
      <c r="E69">
        <v>13032526</v>
      </c>
    </row>
    <row r="70" spans="1:5">
      <c r="A70">
        <v>0</v>
      </c>
      <c r="B70" s="64">
        <v>42021</v>
      </c>
      <c r="C70" t="s">
        <v>945</v>
      </c>
      <c r="D70">
        <v>10115</v>
      </c>
      <c r="E70">
        <v>14148800</v>
      </c>
    </row>
    <row r="71" spans="1:5">
      <c r="A71">
        <v>0</v>
      </c>
      <c r="B71" s="64">
        <v>42025</v>
      </c>
      <c r="C71" t="s">
        <v>945</v>
      </c>
      <c r="D71">
        <v>10115</v>
      </c>
      <c r="E71">
        <v>1792387</v>
      </c>
    </row>
    <row r="72" spans="1:5">
      <c r="A72">
        <v>0</v>
      </c>
      <c r="B72" s="64">
        <v>42029</v>
      </c>
      <c r="C72" t="s">
        <v>945</v>
      </c>
      <c r="D72">
        <v>10115</v>
      </c>
      <c r="E72">
        <v>10775952</v>
      </c>
    </row>
    <row r="73" spans="1:5">
      <c r="A73">
        <v>0</v>
      </c>
      <c r="B73" s="64">
        <v>42033</v>
      </c>
      <c r="C73" t="s">
        <v>945</v>
      </c>
      <c r="D73">
        <v>10215</v>
      </c>
      <c r="E73">
        <v>13239330</v>
      </c>
    </row>
    <row r="74" spans="1:5">
      <c r="A74">
        <v>0</v>
      </c>
      <c r="B74" s="64">
        <v>42037</v>
      </c>
      <c r="C74" t="s">
        <v>22</v>
      </c>
      <c r="D74">
        <v>10215</v>
      </c>
      <c r="E74">
        <v>10339820</v>
      </c>
    </row>
    <row r="75" spans="1:5">
      <c r="A75">
        <v>0</v>
      </c>
      <c r="B75" s="64">
        <v>42041</v>
      </c>
      <c r="C75" t="s">
        <v>22</v>
      </c>
      <c r="D75">
        <v>10215</v>
      </c>
      <c r="E75">
        <v>13827587</v>
      </c>
    </row>
    <row r="76" spans="1:5">
      <c r="A76">
        <v>0</v>
      </c>
      <c r="B76" s="64">
        <v>42045</v>
      </c>
      <c r="C76" t="s">
        <v>22</v>
      </c>
      <c r="D76">
        <v>10215</v>
      </c>
      <c r="E76">
        <v>17597294</v>
      </c>
    </row>
    <row r="77" spans="1:5">
      <c r="A77">
        <v>0</v>
      </c>
      <c r="B77" s="64">
        <v>42049</v>
      </c>
      <c r="C77" t="s">
        <v>22</v>
      </c>
      <c r="D77">
        <v>10215</v>
      </c>
      <c r="E77">
        <v>13994541</v>
      </c>
    </row>
    <row r="78" spans="1:5">
      <c r="A78">
        <v>0</v>
      </c>
      <c r="B78" s="64">
        <v>42053</v>
      </c>
      <c r="C78" t="s">
        <v>22</v>
      </c>
      <c r="D78">
        <v>10215</v>
      </c>
      <c r="E78">
        <v>22004871</v>
      </c>
    </row>
    <row r="79" spans="1:5">
      <c r="A79">
        <v>0</v>
      </c>
      <c r="B79" s="64">
        <v>42057</v>
      </c>
      <c r="C79" t="s">
        <v>22</v>
      </c>
      <c r="D79">
        <v>10215</v>
      </c>
      <c r="E79">
        <v>7695980</v>
      </c>
    </row>
    <row r="80" spans="1:5">
      <c r="A80">
        <v>0</v>
      </c>
      <c r="B80" s="64">
        <v>42061</v>
      </c>
      <c r="C80" t="s">
        <v>22</v>
      </c>
      <c r="D80">
        <v>10215</v>
      </c>
      <c r="E80">
        <v>13943218</v>
      </c>
    </row>
    <row r="81" spans="1:5">
      <c r="A81">
        <v>0</v>
      </c>
      <c r="B81" s="64">
        <v>42061</v>
      </c>
      <c r="C81" t="s">
        <v>22</v>
      </c>
      <c r="D81">
        <v>10315</v>
      </c>
      <c r="E81">
        <v>13943218</v>
      </c>
    </row>
    <row r="82" spans="1:5">
      <c r="A82">
        <v>0</v>
      </c>
      <c r="B82" s="64">
        <v>42065</v>
      </c>
      <c r="C82" t="s">
        <v>22</v>
      </c>
      <c r="D82">
        <v>10315</v>
      </c>
      <c r="E82">
        <v>17824738</v>
      </c>
    </row>
    <row r="83" spans="1:5">
      <c r="A83">
        <v>0</v>
      </c>
      <c r="B83" s="64">
        <v>42069</v>
      </c>
      <c r="C83" t="s">
        <v>22</v>
      </c>
      <c r="D83">
        <v>10315</v>
      </c>
      <c r="E83">
        <v>10314805</v>
      </c>
    </row>
    <row r="84" spans="1:5">
      <c r="A84">
        <v>0</v>
      </c>
      <c r="B84" s="64">
        <v>42073</v>
      </c>
      <c r="C84" t="s">
        <v>22</v>
      </c>
      <c r="D84">
        <v>10315</v>
      </c>
      <c r="E84">
        <v>11149684</v>
      </c>
    </row>
    <row r="85" spans="1:5">
      <c r="A85">
        <v>0</v>
      </c>
      <c r="B85" s="64">
        <v>42077</v>
      </c>
      <c r="C85" t="s">
        <v>22</v>
      </c>
      <c r="D85">
        <v>10315</v>
      </c>
      <c r="E85">
        <v>12807694</v>
      </c>
    </row>
    <row r="86" spans="1:5">
      <c r="A86">
        <v>0</v>
      </c>
      <c r="B86" s="64">
        <v>42081</v>
      </c>
      <c r="C86" t="s">
        <v>8</v>
      </c>
      <c r="D86">
        <v>10315</v>
      </c>
      <c r="E86">
        <v>730804</v>
      </c>
    </row>
    <row r="87" spans="1:5">
      <c r="A87">
        <v>0</v>
      </c>
      <c r="B87" s="64">
        <v>42085</v>
      </c>
      <c r="C87" t="s">
        <v>8</v>
      </c>
      <c r="D87">
        <v>10315</v>
      </c>
      <c r="E87">
        <v>4960928</v>
      </c>
    </row>
    <row r="88" spans="1:5">
      <c r="A88">
        <v>0</v>
      </c>
      <c r="B88" s="64">
        <v>42089</v>
      </c>
      <c r="C88" t="s">
        <v>8</v>
      </c>
      <c r="D88">
        <v>10315</v>
      </c>
      <c r="E88">
        <v>4405693</v>
      </c>
    </row>
    <row r="89" spans="1:5">
      <c r="A89">
        <v>0</v>
      </c>
      <c r="B89" s="64">
        <v>42093</v>
      </c>
      <c r="C89" t="s">
        <v>943</v>
      </c>
      <c r="D89">
        <v>10315</v>
      </c>
      <c r="E89">
        <v>4501764</v>
      </c>
    </row>
    <row r="90" spans="1:5">
      <c r="A90">
        <v>0</v>
      </c>
      <c r="B90" s="64">
        <v>42093</v>
      </c>
      <c r="C90" t="s">
        <v>943</v>
      </c>
      <c r="D90">
        <v>10415</v>
      </c>
      <c r="E90">
        <v>4501764</v>
      </c>
    </row>
    <row r="91" spans="1:5">
      <c r="A91">
        <v>0</v>
      </c>
      <c r="B91" s="64">
        <v>42097</v>
      </c>
      <c r="C91" t="s">
        <v>943</v>
      </c>
      <c r="D91">
        <v>10415</v>
      </c>
      <c r="E91">
        <v>8264623</v>
      </c>
    </row>
    <row r="92" spans="1:5">
      <c r="A92">
        <v>0</v>
      </c>
      <c r="B92" s="64">
        <v>42101</v>
      </c>
      <c r="C92" t="s">
        <v>943</v>
      </c>
      <c r="D92">
        <v>10415</v>
      </c>
      <c r="E92">
        <v>18343686</v>
      </c>
    </row>
    <row r="93" spans="1:5">
      <c r="A93">
        <v>0</v>
      </c>
      <c r="B93" s="64">
        <v>42105</v>
      </c>
      <c r="C93" t="s">
        <v>943</v>
      </c>
      <c r="D93">
        <v>10415</v>
      </c>
      <c r="E93">
        <v>14372638</v>
      </c>
    </row>
    <row r="94" spans="1:5">
      <c r="A94">
        <v>0</v>
      </c>
      <c r="B94" s="64">
        <v>42109</v>
      </c>
      <c r="C94" t="s">
        <v>943</v>
      </c>
      <c r="D94">
        <v>10415</v>
      </c>
      <c r="E94">
        <v>6726414</v>
      </c>
    </row>
    <row r="95" spans="1:5">
      <c r="A95">
        <v>0</v>
      </c>
      <c r="B95" s="64">
        <v>42113</v>
      </c>
      <c r="C95" t="s">
        <v>943</v>
      </c>
      <c r="D95">
        <v>10415</v>
      </c>
      <c r="E95">
        <v>22084662</v>
      </c>
    </row>
    <row r="96" spans="1:5">
      <c r="A96">
        <v>0</v>
      </c>
      <c r="B96" s="64">
        <v>42117</v>
      </c>
      <c r="C96" t="s">
        <v>943</v>
      </c>
      <c r="D96">
        <v>10415</v>
      </c>
      <c r="E96">
        <v>22569125</v>
      </c>
    </row>
    <row r="97" spans="1:5">
      <c r="A97">
        <v>0</v>
      </c>
      <c r="B97" s="64">
        <v>42121</v>
      </c>
      <c r="C97" t="s">
        <v>943</v>
      </c>
      <c r="D97">
        <v>10415</v>
      </c>
      <c r="E97">
        <v>20977186</v>
      </c>
    </row>
    <row r="98" spans="1:5">
      <c r="A98">
        <v>0</v>
      </c>
      <c r="B98" s="64">
        <v>42005</v>
      </c>
      <c r="C98" t="s">
        <v>8</v>
      </c>
      <c r="D98">
        <v>10115</v>
      </c>
      <c r="E98">
        <v>13567372</v>
      </c>
    </row>
    <row r="99" spans="1:5">
      <c r="A99">
        <v>0</v>
      </c>
      <c r="B99" s="64">
        <v>42009</v>
      </c>
      <c r="C99" t="s">
        <v>8</v>
      </c>
      <c r="D99">
        <v>10115</v>
      </c>
      <c r="E99">
        <v>18112313</v>
      </c>
    </row>
    <row r="100" spans="1:5">
      <c r="A100">
        <v>0</v>
      </c>
      <c r="B100" s="64">
        <v>42013</v>
      </c>
      <c r="C100" t="s">
        <v>8</v>
      </c>
      <c r="D100">
        <v>10115</v>
      </c>
      <c r="E100">
        <v>15840901</v>
      </c>
    </row>
    <row r="101" spans="1:5">
      <c r="A101">
        <v>0</v>
      </c>
      <c r="B101" s="64">
        <v>42017</v>
      </c>
      <c r="C101" t="s">
        <v>8</v>
      </c>
      <c r="D101">
        <v>10115</v>
      </c>
      <c r="E101">
        <v>4275088</v>
      </c>
    </row>
    <row r="102" spans="1:5">
      <c r="A102">
        <v>0</v>
      </c>
      <c r="B102" s="64">
        <v>42021</v>
      </c>
      <c r="C102" t="s">
        <v>8</v>
      </c>
      <c r="D102">
        <v>10115</v>
      </c>
      <c r="E102">
        <v>20159637</v>
      </c>
    </row>
    <row r="103" spans="1:5">
      <c r="A103">
        <v>0</v>
      </c>
      <c r="B103" s="64">
        <v>42025</v>
      </c>
      <c r="C103" t="s">
        <v>8</v>
      </c>
      <c r="D103">
        <v>10115</v>
      </c>
      <c r="E103">
        <v>10671773</v>
      </c>
    </row>
    <row r="104" spans="1:5">
      <c r="A104">
        <v>0</v>
      </c>
      <c r="B104" s="64">
        <v>42029</v>
      </c>
      <c r="C104" t="s">
        <v>8</v>
      </c>
      <c r="D104">
        <v>10115</v>
      </c>
      <c r="E104">
        <v>7782022</v>
      </c>
    </row>
    <row r="105" spans="1:5">
      <c r="A105">
        <v>0</v>
      </c>
      <c r="B105" s="64">
        <v>42033</v>
      </c>
      <c r="C105" t="s">
        <v>8</v>
      </c>
      <c r="D105">
        <v>10215</v>
      </c>
      <c r="E105">
        <v>14052960</v>
      </c>
    </row>
    <row r="106" spans="1:5">
      <c r="A106">
        <v>0</v>
      </c>
      <c r="B106" s="64">
        <v>42037</v>
      </c>
      <c r="C106" t="s">
        <v>8</v>
      </c>
      <c r="D106">
        <v>10215</v>
      </c>
      <c r="E106">
        <v>8606869</v>
      </c>
    </row>
    <row r="107" spans="1:5">
      <c r="A107">
        <v>0</v>
      </c>
      <c r="B107" s="64">
        <v>42041</v>
      </c>
      <c r="C107" t="s">
        <v>8</v>
      </c>
      <c r="D107">
        <v>10215</v>
      </c>
      <c r="E107">
        <v>3587760</v>
      </c>
    </row>
    <row r="108" spans="1:5">
      <c r="A108">
        <v>0</v>
      </c>
      <c r="B108" s="64">
        <v>42045</v>
      </c>
      <c r="C108" t="s">
        <v>8</v>
      </c>
      <c r="D108">
        <v>10215</v>
      </c>
      <c r="E108">
        <v>12877782</v>
      </c>
    </row>
    <row r="109" spans="1:5">
      <c r="A109">
        <v>0</v>
      </c>
      <c r="B109" s="64">
        <v>42049</v>
      </c>
      <c r="C109" t="s">
        <v>8</v>
      </c>
      <c r="D109">
        <v>10215</v>
      </c>
      <c r="E109">
        <v>5940810</v>
      </c>
    </row>
    <row r="110" spans="1:5">
      <c r="A110">
        <v>0</v>
      </c>
      <c r="B110" s="64">
        <v>42053</v>
      </c>
      <c r="C110" t="s">
        <v>8</v>
      </c>
      <c r="D110">
        <v>10215</v>
      </c>
      <c r="E110">
        <v>11384876</v>
      </c>
    </row>
    <row r="111" spans="1:5">
      <c r="A111">
        <v>0</v>
      </c>
      <c r="B111" s="64">
        <v>42057</v>
      </c>
      <c r="C111" t="s">
        <v>8</v>
      </c>
      <c r="D111">
        <v>10215</v>
      </c>
      <c r="E111">
        <v>11849564</v>
      </c>
    </row>
    <row r="112" spans="1:5">
      <c r="A112">
        <v>0</v>
      </c>
      <c r="B112" s="64">
        <v>42061</v>
      </c>
      <c r="C112" t="s">
        <v>8</v>
      </c>
      <c r="D112">
        <v>10215</v>
      </c>
      <c r="E112">
        <v>10542211</v>
      </c>
    </row>
    <row r="113" spans="1:5">
      <c r="A113">
        <v>0</v>
      </c>
      <c r="B113" s="64">
        <v>42061</v>
      </c>
      <c r="C113" t="s">
        <v>8</v>
      </c>
      <c r="D113">
        <v>10315</v>
      </c>
      <c r="E113">
        <v>10542211</v>
      </c>
    </row>
    <row r="114" spans="1:5">
      <c r="A114">
        <v>0</v>
      </c>
      <c r="B114" s="64">
        <v>42065</v>
      </c>
      <c r="C114" t="s">
        <v>8</v>
      </c>
      <c r="D114">
        <v>10315</v>
      </c>
      <c r="E114">
        <v>8640546</v>
      </c>
    </row>
    <row r="115" spans="1:5">
      <c r="A115">
        <v>0</v>
      </c>
      <c r="B115" s="64">
        <v>42069</v>
      </c>
      <c r="C115" t="s">
        <v>8</v>
      </c>
      <c r="D115">
        <v>10315</v>
      </c>
      <c r="E115">
        <v>4957366</v>
      </c>
    </row>
    <row r="116" spans="1:5">
      <c r="A116">
        <v>0</v>
      </c>
      <c r="B116" s="64">
        <v>42073</v>
      </c>
      <c r="C116" t="s">
        <v>8</v>
      </c>
      <c r="D116">
        <v>10315</v>
      </c>
      <c r="E116">
        <v>12905405</v>
      </c>
    </row>
    <row r="117" spans="1:5">
      <c r="A117">
        <v>0</v>
      </c>
      <c r="B117" s="64">
        <v>42077</v>
      </c>
      <c r="C117" t="s">
        <v>8</v>
      </c>
      <c r="D117">
        <v>10315</v>
      </c>
      <c r="E117">
        <v>10547825</v>
      </c>
    </row>
    <row r="118" spans="1:5">
      <c r="A118">
        <v>0</v>
      </c>
      <c r="B118" s="64">
        <v>42081</v>
      </c>
      <c r="C118" t="s">
        <v>8</v>
      </c>
      <c r="D118">
        <v>10315</v>
      </c>
      <c r="E118">
        <v>12761873</v>
      </c>
    </row>
    <row r="119" spans="1:5">
      <c r="A119">
        <v>0</v>
      </c>
      <c r="B119" s="64">
        <v>42085</v>
      </c>
      <c r="C119" t="s">
        <v>8</v>
      </c>
      <c r="D119">
        <v>10315</v>
      </c>
      <c r="E119">
        <v>15020278</v>
      </c>
    </row>
    <row r="120" spans="1:5">
      <c r="A120">
        <v>0</v>
      </c>
      <c r="B120" s="64">
        <v>42089</v>
      </c>
      <c r="C120" t="s">
        <v>8</v>
      </c>
      <c r="D120">
        <v>10315</v>
      </c>
      <c r="E120">
        <v>15338881</v>
      </c>
    </row>
    <row r="121" spans="1:5">
      <c r="A121">
        <v>0</v>
      </c>
      <c r="B121" s="64">
        <v>42093</v>
      </c>
      <c r="C121" t="s">
        <v>8</v>
      </c>
      <c r="D121">
        <v>10315</v>
      </c>
      <c r="E121">
        <v>14180934</v>
      </c>
    </row>
    <row r="122" spans="1:5">
      <c r="A122">
        <v>0</v>
      </c>
      <c r="B122" s="64">
        <v>42093</v>
      </c>
      <c r="C122" t="s">
        <v>8</v>
      </c>
      <c r="D122">
        <v>10415</v>
      </c>
      <c r="E122">
        <v>14180934</v>
      </c>
    </row>
    <row r="123" spans="1:5">
      <c r="A123">
        <v>0</v>
      </c>
      <c r="B123" s="64">
        <v>42097</v>
      </c>
      <c r="C123" t="s">
        <v>8</v>
      </c>
      <c r="D123">
        <v>10415</v>
      </c>
      <c r="E123">
        <v>8561394</v>
      </c>
    </row>
    <row r="124" spans="1:5">
      <c r="A124">
        <v>0</v>
      </c>
      <c r="B124" s="64">
        <v>42101</v>
      </c>
      <c r="C124" t="s">
        <v>8</v>
      </c>
      <c r="D124">
        <v>10415</v>
      </c>
      <c r="E124">
        <v>17252211</v>
      </c>
    </row>
    <row r="125" spans="1:5">
      <c r="A125">
        <v>0</v>
      </c>
      <c r="B125" s="64">
        <v>42105</v>
      </c>
      <c r="C125" t="s">
        <v>8</v>
      </c>
      <c r="D125">
        <v>10415</v>
      </c>
      <c r="E125">
        <v>22801604</v>
      </c>
    </row>
    <row r="126" spans="1:5">
      <c r="A126">
        <v>0</v>
      </c>
      <c r="B126" s="64">
        <v>42109</v>
      </c>
      <c r="C126" t="s">
        <v>8</v>
      </c>
      <c r="D126">
        <v>10415</v>
      </c>
      <c r="E126">
        <v>9943813</v>
      </c>
    </row>
    <row r="127" spans="1:5">
      <c r="A127">
        <v>0</v>
      </c>
      <c r="B127" s="64">
        <v>42113</v>
      </c>
      <c r="C127" t="s">
        <v>22</v>
      </c>
      <c r="D127">
        <v>10415</v>
      </c>
      <c r="E127">
        <v>8898005</v>
      </c>
    </row>
    <row r="128" spans="1:5">
      <c r="A128">
        <v>0</v>
      </c>
      <c r="B128" s="64">
        <v>42117</v>
      </c>
      <c r="C128" t="s">
        <v>22</v>
      </c>
      <c r="D128">
        <v>10415</v>
      </c>
      <c r="E128">
        <v>14217899</v>
      </c>
    </row>
    <row r="129" spans="1:5">
      <c r="A129">
        <v>0</v>
      </c>
      <c r="B129" s="64">
        <v>42121</v>
      </c>
      <c r="C129" t="s">
        <v>22</v>
      </c>
      <c r="D129">
        <v>10415</v>
      </c>
      <c r="E129">
        <v>11643441</v>
      </c>
    </row>
    <row r="130" spans="1:5">
      <c r="A130">
        <v>0</v>
      </c>
      <c r="B130" s="64">
        <v>42005</v>
      </c>
      <c r="C130" t="s">
        <v>22</v>
      </c>
      <c r="D130">
        <v>10115</v>
      </c>
      <c r="E130">
        <v>10199546</v>
      </c>
    </row>
    <row r="131" spans="1:5">
      <c r="A131">
        <v>0</v>
      </c>
      <c r="B131" s="64">
        <v>42009</v>
      </c>
      <c r="C131" t="s">
        <v>22</v>
      </c>
      <c r="D131">
        <v>10115</v>
      </c>
      <c r="E131">
        <v>10396017</v>
      </c>
    </row>
    <row r="132" spans="1:5">
      <c r="A132">
        <v>0</v>
      </c>
      <c r="B132" s="64">
        <v>42013</v>
      </c>
      <c r="C132" t="s">
        <v>22</v>
      </c>
      <c r="D132">
        <v>10115</v>
      </c>
      <c r="E132">
        <v>14495754</v>
      </c>
    </row>
    <row r="133" spans="1:5">
      <c r="A133">
        <v>0</v>
      </c>
      <c r="B133" s="64">
        <v>42017</v>
      </c>
      <c r="C133" t="s">
        <v>22</v>
      </c>
      <c r="D133">
        <v>10115</v>
      </c>
      <c r="E133">
        <v>2657282</v>
      </c>
    </row>
    <row r="134" spans="1:5">
      <c r="A134">
        <v>0</v>
      </c>
      <c r="B134" s="64">
        <v>42021</v>
      </c>
      <c r="C134" t="s">
        <v>22</v>
      </c>
      <c r="D134">
        <v>10115</v>
      </c>
      <c r="E134">
        <v>7905696</v>
      </c>
    </row>
    <row r="135" spans="1:5">
      <c r="A135">
        <v>0</v>
      </c>
      <c r="B135" s="64">
        <v>42025</v>
      </c>
      <c r="C135" t="s">
        <v>22</v>
      </c>
      <c r="D135">
        <v>10115</v>
      </c>
      <c r="E135">
        <v>7140738</v>
      </c>
    </row>
    <row r="136" spans="1:5">
      <c r="A136">
        <v>0</v>
      </c>
      <c r="B136" s="64">
        <v>42029</v>
      </c>
      <c r="C136" t="s">
        <v>22</v>
      </c>
      <c r="D136">
        <v>10115</v>
      </c>
      <c r="E136">
        <v>15340703</v>
      </c>
    </row>
    <row r="137" spans="1:5">
      <c r="A137">
        <v>0</v>
      </c>
      <c r="B137" s="64">
        <v>42033</v>
      </c>
      <c r="C137" t="s">
        <v>22</v>
      </c>
      <c r="D137">
        <v>10215</v>
      </c>
      <c r="E137">
        <v>11599900</v>
      </c>
    </row>
    <row r="138" spans="1:5">
      <c r="A138">
        <v>0</v>
      </c>
      <c r="B138" s="64">
        <v>42037</v>
      </c>
      <c r="C138" t="s">
        <v>22</v>
      </c>
      <c r="D138">
        <v>10215</v>
      </c>
      <c r="E138">
        <v>9488697</v>
      </c>
    </row>
    <row r="139" spans="1:5">
      <c r="A139">
        <v>0</v>
      </c>
      <c r="B139" s="64">
        <v>42041</v>
      </c>
      <c r="C139" t="s">
        <v>22</v>
      </c>
      <c r="D139">
        <v>10215</v>
      </c>
      <c r="E139">
        <v>11674297</v>
      </c>
    </row>
    <row r="140" spans="1:5">
      <c r="A140">
        <v>0</v>
      </c>
      <c r="B140" s="64">
        <v>42045</v>
      </c>
      <c r="C140" t="s">
        <v>22</v>
      </c>
      <c r="D140">
        <v>10215</v>
      </c>
      <c r="E140">
        <v>10364250</v>
      </c>
    </row>
    <row r="141" spans="1:5">
      <c r="A141">
        <v>0</v>
      </c>
      <c r="B141" s="64">
        <v>42049</v>
      </c>
      <c r="C141" t="s">
        <v>22</v>
      </c>
      <c r="D141">
        <v>10215</v>
      </c>
      <c r="E141">
        <v>14045059</v>
      </c>
    </row>
    <row r="142" spans="1:5">
      <c r="A142">
        <v>0</v>
      </c>
      <c r="B142" s="64">
        <v>42053</v>
      </c>
      <c r="C142" t="s">
        <v>22</v>
      </c>
      <c r="D142">
        <v>10215</v>
      </c>
      <c r="E142">
        <v>8782093</v>
      </c>
    </row>
    <row r="143" spans="1:5">
      <c r="A143">
        <v>0</v>
      </c>
      <c r="B143" s="64">
        <v>42057</v>
      </c>
      <c r="C143" t="s">
        <v>8</v>
      </c>
      <c r="D143">
        <v>10215</v>
      </c>
      <c r="E143">
        <v>16475996</v>
      </c>
    </row>
    <row r="144" spans="1:5">
      <c r="A144">
        <v>0</v>
      </c>
      <c r="B144" s="64">
        <v>42061</v>
      </c>
      <c r="C144" t="s">
        <v>8</v>
      </c>
      <c r="D144">
        <v>10215</v>
      </c>
      <c r="E144">
        <v>14085125</v>
      </c>
    </row>
    <row r="145" spans="1:5">
      <c r="A145">
        <v>0</v>
      </c>
      <c r="B145" s="64">
        <v>42061</v>
      </c>
      <c r="C145" t="s">
        <v>8</v>
      </c>
      <c r="D145">
        <v>10315</v>
      </c>
      <c r="E145">
        <v>14085125</v>
      </c>
    </row>
    <row r="146" spans="1:5">
      <c r="A146">
        <v>0</v>
      </c>
      <c r="B146" s="64">
        <v>42065</v>
      </c>
      <c r="C146" t="s">
        <v>8</v>
      </c>
      <c r="D146">
        <v>10315</v>
      </c>
      <c r="E146">
        <v>7994663</v>
      </c>
    </row>
    <row r="147" spans="1:5">
      <c r="A147">
        <v>0</v>
      </c>
      <c r="B147" s="64">
        <v>42069</v>
      </c>
      <c r="C147" t="s">
        <v>8</v>
      </c>
      <c r="D147">
        <v>10315</v>
      </c>
      <c r="E147">
        <v>19215390</v>
      </c>
    </row>
    <row r="148" spans="1:5">
      <c r="A148">
        <v>0</v>
      </c>
      <c r="B148" s="64">
        <v>42073</v>
      </c>
      <c r="C148" t="s">
        <v>8</v>
      </c>
      <c r="D148">
        <v>10315</v>
      </c>
      <c r="E148">
        <v>11991041</v>
      </c>
    </row>
    <row r="149" spans="1:5">
      <c r="A149">
        <v>0</v>
      </c>
      <c r="B149" s="64">
        <v>42077</v>
      </c>
      <c r="C149" t="s">
        <v>18</v>
      </c>
      <c r="D149">
        <v>10315</v>
      </c>
      <c r="E149">
        <v>15568604</v>
      </c>
    </row>
    <row r="150" spans="1:5">
      <c r="A150">
        <v>0</v>
      </c>
      <c r="B150" s="64">
        <v>42081</v>
      </c>
      <c r="C150" t="s">
        <v>18</v>
      </c>
      <c r="D150">
        <v>10315</v>
      </c>
      <c r="E150">
        <v>9801513</v>
      </c>
    </row>
    <row r="151" spans="1:5">
      <c r="A151">
        <v>0</v>
      </c>
      <c r="B151" s="64">
        <v>42085</v>
      </c>
      <c r="C151" t="s">
        <v>18</v>
      </c>
      <c r="D151">
        <v>10315</v>
      </c>
      <c r="E151">
        <v>11578932</v>
      </c>
    </row>
    <row r="152" spans="1:5">
      <c r="A152">
        <v>0</v>
      </c>
      <c r="B152" s="64">
        <v>42089</v>
      </c>
      <c r="C152" t="s">
        <v>18</v>
      </c>
      <c r="D152">
        <v>10315</v>
      </c>
      <c r="E152">
        <v>10557644</v>
      </c>
    </row>
    <row r="153" spans="1:5">
      <c r="A153">
        <v>0</v>
      </c>
      <c r="B153" s="64">
        <v>42093</v>
      </c>
      <c r="C153" t="s">
        <v>18</v>
      </c>
      <c r="D153">
        <v>10315</v>
      </c>
      <c r="E153">
        <v>15952765</v>
      </c>
    </row>
    <row r="154" spans="1:5">
      <c r="A154">
        <v>0</v>
      </c>
      <c r="B154" s="64">
        <v>42093</v>
      </c>
      <c r="C154" t="s">
        <v>18</v>
      </c>
      <c r="D154">
        <v>10415</v>
      </c>
      <c r="E154">
        <v>15952765</v>
      </c>
    </row>
    <row r="155" spans="1:5">
      <c r="A155">
        <v>0</v>
      </c>
      <c r="B155" s="64">
        <v>42097</v>
      </c>
      <c r="C155" t="s">
        <v>8</v>
      </c>
      <c r="D155">
        <v>10415</v>
      </c>
      <c r="E155">
        <v>9397816</v>
      </c>
    </row>
    <row r="156" spans="1:5">
      <c r="A156">
        <v>0</v>
      </c>
      <c r="B156" s="64">
        <v>42101</v>
      </c>
      <c r="C156" t="s">
        <v>8</v>
      </c>
      <c r="D156">
        <v>10415</v>
      </c>
      <c r="E156">
        <v>17593696</v>
      </c>
    </row>
    <row r="157" spans="1:5">
      <c r="A157">
        <v>0</v>
      </c>
      <c r="B157" s="64">
        <v>42105</v>
      </c>
      <c r="C157" t="s">
        <v>8</v>
      </c>
      <c r="D157">
        <v>10415</v>
      </c>
      <c r="E157">
        <v>14267101</v>
      </c>
    </row>
    <row r="158" spans="1:5">
      <c r="A158">
        <v>0</v>
      </c>
      <c r="B158" s="64">
        <v>42109</v>
      </c>
      <c r="C158" t="s">
        <v>18</v>
      </c>
      <c r="D158">
        <v>10415</v>
      </c>
      <c r="E158">
        <v>13619129</v>
      </c>
    </row>
    <row r="159" spans="1:5">
      <c r="A159">
        <v>0</v>
      </c>
      <c r="B159" s="64">
        <v>42113</v>
      </c>
      <c r="C159" t="s">
        <v>18</v>
      </c>
      <c r="D159">
        <v>10415</v>
      </c>
      <c r="E159">
        <v>8209069</v>
      </c>
    </row>
    <row r="160" spans="1:5">
      <c r="A160">
        <v>0</v>
      </c>
      <c r="B160" s="64">
        <v>42117</v>
      </c>
      <c r="C160" t="s">
        <v>8</v>
      </c>
      <c r="D160">
        <v>10415</v>
      </c>
      <c r="E160">
        <v>20453875</v>
      </c>
    </row>
    <row r="161" spans="1:5">
      <c r="A161">
        <v>0</v>
      </c>
      <c r="B161" s="64">
        <v>42121</v>
      </c>
      <c r="C161" t="s">
        <v>22</v>
      </c>
      <c r="D161">
        <v>10415</v>
      </c>
      <c r="E161">
        <v>9560498</v>
      </c>
    </row>
    <row r="162" spans="1:5">
      <c r="A162">
        <v>0</v>
      </c>
      <c r="B162" s="64">
        <v>42005</v>
      </c>
      <c r="C162" t="s">
        <v>22</v>
      </c>
      <c r="D162">
        <v>10115</v>
      </c>
      <c r="E162">
        <v>20692976</v>
      </c>
    </row>
    <row r="163" spans="1:5">
      <c r="A163">
        <v>0</v>
      </c>
      <c r="B163" s="64">
        <v>42009</v>
      </c>
      <c r="C163" t="s">
        <v>22</v>
      </c>
      <c r="D163">
        <v>10115</v>
      </c>
      <c r="E163">
        <v>14576278</v>
      </c>
    </row>
    <row r="164" spans="1:5">
      <c r="A164">
        <v>0</v>
      </c>
      <c r="B164" s="64">
        <v>42013</v>
      </c>
      <c r="C164" t="s">
        <v>8</v>
      </c>
      <c r="D164">
        <v>10115</v>
      </c>
      <c r="E164">
        <v>14381057</v>
      </c>
    </row>
    <row r="165" spans="1:5">
      <c r="A165">
        <v>0</v>
      </c>
      <c r="B165" s="64">
        <v>42017</v>
      </c>
      <c r="C165" t="s">
        <v>8</v>
      </c>
      <c r="D165">
        <v>10115</v>
      </c>
      <c r="E165">
        <v>14710736</v>
      </c>
    </row>
    <row r="166" spans="1:5">
      <c r="A166">
        <v>0</v>
      </c>
      <c r="B166" s="64">
        <v>42021</v>
      </c>
      <c r="C166" t="s">
        <v>8</v>
      </c>
      <c r="D166">
        <v>10115</v>
      </c>
      <c r="E166">
        <v>13959539</v>
      </c>
    </row>
    <row r="167" spans="1:5">
      <c r="A167">
        <v>0</v>
      </c>
      <c r="B167" s="64">
        <v>42025</v>
      </c>
      <c r="C167" t="s">
        <v>8</v>
      </c>
      <c r="D167">
        <v>10115</v>
      </c>
      <c r="E167">
        <v>3565621</v>
      </c>
    </row>
    <row r="168" spans="1:5">
      <c r="A168">
        <v>0</v>
      </c>
      <c r="B168" s="64">
        <v>42029</v>
      </c>
      <c r="C168" t="s">
        <v>8</v>
      </c>
      <c r="D168">
        <v>10115</v>
      </c>
      <c r="E168">
        <v>6801158</v>
      </c>
    </row>
    <row r="169" spans="1:5">
      <c r="A169">
        <v>0</v>
      </c>
      <c r="B169" s="64">
        <v>42033</v>
      </c>
      <c r="C169" t="s">
        <v>8</v>
      </c>
      <c r="D169">
        <v>10215</v>
      </c>
      <c r="E169">
        <v>6764699</v>
      </c>
    </row>
    <row r="170" spans="1:5">
      <c r="A170">
        <v>0</v>
      </c>
      <c r="B170" s="64">
        <v>42037</v>
      </c>
      <c r="C170" t="s">
        <v>8</v>
      </c>
      <c r="D170">
        <v>10215</v>
      </c>
      <c r="E170">
        <v>11645652</v>
      </c>
    </row>
    <row r="171" spans="1:5">
      <c r="A171">
        <v>0</v>
      </c>
      <c r="B171" s="64">
        <v>42041</v>
      </c>
      <c r="C171" t="s">
        <v>8</v>
      </c>
      <c r="D171">
        <v>10215</v>
      </c>
      <c r="E171">
        <v>13402267</v>
      </c>
    </row>
    <row r="172" spans="1:5">
      <c r="A172">
        <v>0</v>
      </c>
      <c r="B172" s="64">
        <v>42045</v>
      </c>
      <c r="C172" t="s">
        <v>22</v>
      </c>
      <c r="D172">
        <v>10215</v>
      </c>
      <c r="E172">
        <v>5650922</v>
      </c>
    </row>
    <row r="173" spans="1:5">
      <c r="A173">
        <v>0</v>
      </c>
      <c r="B173" s="64">
        <v>42049</v>
      </c>
      <c r="C173" t="s">
        <v>22</v>
      </c>
      <c r="D173">
        <v>10215</v>
      </c>
      <c r="E173">
        <v>14813440</v>
      </c>
    </row>
    <row r="174" spans="1:5">
      <c r="A174">
        <v>0</v>
      </c>
      <c r="B174" s="64">
        <v>42053</v>
      </c>
      <c r="C174" t="s">
        <v>22</v>
      </c>
      <c r="D174">
        <v>10215</v>
      </c>
      <c r="E174">
        <v>6847676</v>
      </c>
    </row>
    <row r="175" spans="1:5">
      <c r="A175">
        <v>0</v>
      </c>
      <c r="B175" s="64">
        <v>42057</v>
      </c>
      <c r="C175" t="s">
        <v>945</v>
      </c>
      <c r="D175">
        <v>10215</v>
      </c>
      <c r="E175">
        <v>15946882</v>
      </c>
    </row>
    <row r="176" spans="1:5">
      <c r="A176">
        <v>0</v>
      </c>
      <c r="B176" s="64">
        <v>42061</v>
      </c>
      <c r="C176" t="s">
        <v>941</v>
      </c>
      <c r="D176">
        <v>10215</v>
      </c>
      <c r="E176">
        <v>3385673</v>
      </c>
    </row>
    <row r="177" spans="1:5">
      <c r="A177">
        <v>0</v>
      </c>
      <c r="B177" s="64">
        <v>42061</v>
      </c>
      <c r="C177" t="s">
        <v>941</v>
      </c>
      <c r="D177">
        <v>10315</v>
      </c>
      <c r="E177">
        <v>3385673</v>
      </c>
    </row>
    <row r="178" spans="1:5">
      <c r="A178">
        <v>0</v>
      </c>
      <c r="B178" s="64">
        <v>42065</v>
      </c>
      <c r="C178" t="s">
        <v>8</v>
      </c>
      <c r="D178">
        <v>10315</v>
      </c>
      <c r="E178">
        <v>9892349</v>
      </c>
    </row>
    <row r="179" spans="1:5">
      <c r="A179">
        <v>0</v>
      </c>
      <c r="B179" s="64">
        <v>42069</v>
      </c>
      <c r="C179" t="s">
        <v>8</v>
      </c>
      <c r="D179">
        <v>10315</v>
      </c>
      <c r="E179">
        <v>16193239</v>
      </c>
    </row>
    <row r="180" spans="1:5">
      <c r="A180">
        <v>0</v>
      </c>
      <c r="B180" s="64">
        <v>42073</v>
      </c>
      <c r="C180" t="s">
        <v>8</v>
      </c>
      <c r="D180">
        <v>10315</v>
      </c>
      <c r="E180">
        <v>13077893</v>
      </c>
    </row>
    <row r="181" spans="1:5">
      <c r="A181">
        <v>0</v>
      </c>
      <c r="B181" s="64">
        <v>42077</v>
      </c>
      <c r="C181" t="s">
        <v>8</v>
      </c>
      <c r="D181">
        <v>10315</v>
      </c>
      <c r="E181">
        <v>12956376</v>
      </c>
    </row>
    <row r="182" spans="1:5">
      <c r="A182">
        <v>0</v>
      </c>
      <c r="B182" s="64">
        <v>42081</v>
      </c>
      <c r="C182" t="s">
        <v>22</v>
      </c>
      <c r="D182">
        <v>10315</v>
      </c>
      <c r="E182">
        <v>11326712</v>
      </c>
    </row>
    <row r="183" spans="1:5">
      <c r="A183">
        <v>0</v>
      </c>
      <c r="B183" s="64">
        <v>42085</v>
      </c>
      <c r="C183" t="s">
        <v>22</v>
      </c>
      <c r="D183">
        <v>10315</v>
      </c>
      <c r="E183">
        <v>14477436</v>
      </c>
    </row>
    <row r="184" spans="1:5">
      <c r="A184">
        <v>0</v>
      </c>
      <c r="B184" s="64">
        <v>42089</v>
      </c>
      <c r="C184" t="s">
        <v>22</v>
      </c>
      <c r="D184">
        <v>10315</v>
      </c>
      <c r="E184">
        <v>14397525</v>
      </c>
    </row>
    <row r="185" spans="1:5">
      <c r="A185">
        <v>0</v>
      </c>
      <c r="B185" s="64">
        <v>42093</v>
      </c>
      <c r="C185" t="s">
        <v>22</v>
      </c>
      <c r="D185">
        <v>10315</v>
      </c>
      <c r="E185">
        <v>13989242</v>
      </c>
    </row>
    <row r="186" spans="1:5">
      <c r="A186">
        <v>0</v>
      </c>
      <c r="B186" s="64">
        <v>42093</v>
      </c>
      <c r="C186" t="s">
        <v>22</v>
      </c>
      <c r="D186">
        <v>10415</v>
      </c>
      <c r="E186">
        <v>13989242</v>
      </c>
    </row>
    <row r="187" spans="1:5">
      <c r="A187">
        <v>0</v>
      </c>
      <c r="B187" s="64">
        <v>42097</v>
      </c>
      <c r="C187" t="s">
        <v>22</v>
      </c>
      <c r="D187">
        <v>10415</v>
      </c>
      <c r="E187">
        <v>12059298</v>
      </c>
    </row>
    <row r="188" spans="1:5">
      <c r="A188">
        <v>0</v>
      </c>
      <c r="B188" s="64">
        <v>42101</v>
      </c>
      <c r="C188" t="s">
        <v>22</v>
      </c>
      <c r="D188">
        <v>10415</v>
      </c>
      <c r="E188">
        <v>11671425</v>
      </c>
    </row>
    <row r="189" spans="1:5">
      <c r="A189">
        <v>0</v>
      </c>
      <c r="B189" s="64">
        <v>42105</v>
      </c>
      <c r="C189" t="s">
        <v>8</v>
      </c>
      <c r="D189">
        <v>10415</v>
      </c>
      <c r="E189">
        <v>17521276</v>
      </c>
    </row>
    <row r="190" spans="1:5">
      <c r="A190">
        <v>0</v>
      </c>
      <c r="B190" s="64">
        <v>42109</v>
      </c>
      <c r="C190" t="s">
        <v>8</v>
      </c>
      <c r="D190">
        <v>10415</v>
      </c>
      <c r="E190">
        <v>12790046</v>
      </c>
    </row>
    <row r="191" spans="1:5">
      <c r="A191">
        <v>0</v>
      </c>
      <c r="B191" s="64">
        <v>42113</v>
      </c>
      <c r="C191" t="s">
        <v>8</v>
      </c>
      <c r="D191">
        <v>10415</v>
      </c>
      <c r="E191">
        <v>14354749</v>
      </c>
    </row>
    <row r="192" spans="1:5">
      <c r="A192">
        <v>0</v>
      </c>
      <c r="B192" s="64">
        <v>42117</v>
      </c>
      <c r="C192" t="s">
        <v>941</v>
      </c>
      <c r="D192">
        <v>10415</v>
      </c>
      <c r="E192">
        <v>9742226</v>
      </c>
    </row>
    <row r="193" spans="1:5">
      <c r="A193">
        <v>0</v>
      </c>
      <c r="B193" s="64">
        <v>42121</v>
      </c>
      <c r="C193" t="s">
        <v>941</v>
      </c>
      <c r="D193">
        <v>10415</v>
      </c>
      <c r="E193">
        <v>13955035</v>
      </c>
    </row>
    <row r="194" spans="1:5">
      <c r="A194">
        <v>0</v>
      </c>
      <c r="B194" s="64">
        <v>42005</v>
      </c>
      <c r="C194" t="s">
        <v>941</v>
      </c>
      <c r="D194">
        <v>10115</v>
      </c>
      <c r="E194">
        <v>13151381</v>
      </c>
    </row>
    <row r="195" spans="1:5">
      <c r="A195">
        <v>0</v>
      </c>
      <c r="B195" s="64">
        <v>42009</v>
      </c>
      <c r="C195" t="s">
        <v>941</v>
      </c>
      <c r="D195">
        <v>10115</v>
      </c>
      <c r="E195">
        <v>19734500</v>
      </c>
    </row>
    <row r="196" spans="1:5">
      <c r="A196">
        <v>0</v>
      </c>
      <c r="B196" s="64">
        <v>42013</v>
      </c>
      <c r="C196" t="s">
        <v>941</v>
      </c>
      <c r="D196">
        <v>10115</v>
      </c>
      <c r="E196">
        <v>12909634</v>
      </c>
    </row>
    <row r="197" spans="1:5">
      <c r="A197">
        <v>0</v>
      </c>
      <c r="B197" s="64">
        <v>42017</v>
      </c>
      <c r="C197" t="s">
        <v>941</v>
      </c>
      <c r="D197">
        <v>10115</v>
      </c>
      <c r="E197">
        <v>18041030</v>
      </c>
    </row>
    <row r="198" spans="1:5">
      <c r="A198">
        <v>0</v>
      </c>
      <c r="B198" s="64">
        <v>42021</v>
      </c>
      <c r="C198" t="s">
        <v>8</v>
      </c>
      <c r="D198">
        <v>10115</v>
      </c>
      <c r="E198">
        <v>21455479</v>
      </c>
    </row>
    <row r="199" spans="1:5">
      <c r="A199">
        <v>0</v>
      </c>
      <c r="B199" s="64">
        <v>42025</v>
      </c>
      <c r="C199" t="s">
        <v>8</v>
      </c>
      <c r="D199">
        <v>10115</v>
      </c>
      <c r="E199">
        <v>16371892</v>
      </c>
    </row>
    <row r="200" spans="1:5">
      <c r="A200">
        <v>0</v>
      </c>
      <c r="B200" s="64">
        <v>42029</v>
      </c>
      <c r="C200" t="s">
        <v>8</v>
      </c>
      <c r="D200">
        <v>10115</v>
      </c>
      <c r="E200">
        <v>1846424</v>
      </c>
    </row>
    <row r="201" spans="1:5">
      <c r="A201">
        <v>0</v>
      </c>
      <c r="B201" s="64">
        <v>42033</v>
      </c>
      <c r="C201" t="s">
        <v>22</v>
      </c>
      <c r="D201">
        <v>10215</v>
      </c>
      <c r="E201">
        <v>13775661</v>
      </c>
    </row>
    <row r="202" spans="1:5">
      <c r="A202">
        <v>0</v>
      </c>
      <c r="B202" s="64">
        <v>42037</v>
      </c>
      <c r="C202" t="s">
        <v>22</v>
      </c>
      <c r="D202">
        <v>10215</v>
      </c>
      <c r="E202">
        <v>17909984</v>
      </c>
    </row>
    <row r="203" spans="1:5">
      <c r="A203">
        <v>0</v>
      </c>
      <c r="B203" s="64">
        <v>42041</v>
      </c>
      <c r="C203" t="s">
        <v>22</v>
      </c>
      <c r="D203">
        <v>10215</v>
      </c>
      <c r="E203">
        <v>14591312</v>
      </c>
    </row>
    <row r="204" spans="1:5">
      <c r="A204">
        <v>0</v>
      </c>
      <c r="B204" s="64">
        <v>42045</v>
      </c>
      <c r="C204" t="s">
        <v>8</v>
      </c>
      <c r="D204">
        <v>10215</v>
      </c>
      <c r="E204">
        <v>15395570</v>
      </c>
    </row>
    <row r="205" spans="1:5">
      <c r="A205">
        <v>0</v>
      </c>
      <c r="B205" s="64">
        <v>42049</v>
      </c>
      <c r="C205" t="s">
        <v>8</v>
      </c>
      <c r="D205">
        <v>10215</v>
      </c>
      <c r="E205">
        <v>16802660</v>
      </c>
    </row>
    <row r="206" spans="1:5">
      <c r="A206">
        <v>0</v>
      </c>
      <c r="B206" s="64">
        <v>42053</v>
      </c>
      <c r="C206" t="s">
        <v>8</v>
      </c>
      <c r="D206">
        <v>10215</v>
      </c>
      <c r="E206">
        <v>13334938</v>
      </c>
    </row>
    <row r="207" spans="1:5">
      <c r="A207">
        <v>0</v>
      </c>
      <c r="B207" s="64">
        <v>42057</v>
      </c>
      <c r="C207" t="s">
        <v>22</v>
      </c>
      <c r="D207">
        <v>10215</v>
      </c>
      <c r="E207">
        <v>8829174</v>
      </c>
    </row>
    <row r="208" spans="1:5">
      <c r="A208">
        <v>0</v>
      </c>
      <c r="B208" s="64">
        <v>42061</v>
      </c>
      <c r="C208" t="s">
        <v>22</v>
      </c>
      <c r="D208">
        <v>10215</v>
      </c>
      <c r="E208">
        <v>10258447</v>
      </c>
    </row>
    <row r="209" spans="1:5">
      <c r="A209">
        <v>0</v>
      </c>
      <c r="B209" s="64">
        <v>42061</v>
      </c>
      <c r="C209" t="s">
        <v>22</v>
      </c>
      <c r="D209">
        <v>10315</v>
      </c>
      <c r="E209">
        <v>10258447</v>
      </c>
    </row>
    <row r="210" spans="1:5">
      <c r="A210">
        <v>0</v>
      </c>
      <c r="B210" s="64">
        <v>42065</v>
      </c>
      <c r="C210" t="s">
        <v>22</v>
      </c>
      <c r="D210">
        <v>10315</v>
      </c>
      <c r="E210">
        <v>20595575</v>
      </c>
    </row>
    <row r="211" spans="1:5">
      <c r="A211">
        <v>0</v>
      </c>
      <c r="B211" s="64">
        <v>42069</v>
      </c>
      <c r="C211" t="s">
        <v>22</v>
      </c>
      <c r="D211">
        <v>10315</v>
      </c>
      <c r="E211">
        <v>18738389</v>
      </c>
    </row>
    <row r="212" spans="1:5">
      <c r="A212">
        <v>0</v>
      </c>
      <c r="B212" s="64">
        <v>42073</v>
      </c>
      <c r="C212" t="s">
        <v>22</v>
      </c>
      <c r="D212">
        <v>10315</v>
      </c>
      <c r="E212">
        <v>14384644</v>
      </c>
    </row>
    <row r="213" spans="1:5">
      <c r="A213">
        <v>0</v>
      </c>
      <c r="B213" s="64">
        <v>42077</v>
      </c>
      <c r="C213" t="s">
        <v>22</v>
      </c>
      <c r="D213">
        <v>10315</v>
      </c>
      <c r="E213">
        <v>5385150</v>
      </c>
    </row>
    <row r="214" spans="1:5">
      <c r="A214">
        <v>0</v>
      </c>
      <c r="B214" s="64">
        <v>42081</v>
      </c>
      <c r="C214" t="s">
        <v>8</v>
      </c>
      <c r="D214">
        <v>10315</v>
      </c>
      <c r="E214">
        <v>15837365</v>
      </c>
    </row>
    <row r="215" spans="1:5">
      <c r="A215">
        <v>0</v>
      </c>
      <c r="B215" s="64">
        <v>42085</v>
      </c>
      <c r="C215" t="s">
        <v>8</v>
      </c>
      <c r="D215">
        <v>10315</v>
      </c>
      <c r="E215">
        <v>16849980</v>
      </c>
    </row>
    <row r="216" spans="1:5">
      <c r="A216">
        <v>0</v>
      </c>
      <c r="B216" s="64">
        <v>42089</v>
      </c>
      <c r="C216" t="s">
        <v>8</v>
      </c>
      <c r="D216">
        <v>10315</v>
      </c>
      <c r="E216">
        <v>7810989</v>
      </c>
    </row>
    <row r="217" spans="1:5">
      <c r="A217">
        <v>0</v>
      </c>
      <c r="B217" s="64">
        <v>42089</v>
      </c>
      <c r="C217" t="s">
        <v>8</v>
      </c>
      <c r="D217">
        <v>10315</v>
      </c>
      <c r="E217">
        <v>7810989</v>
      </c>
    </row>
    <row r="218" spans="1:5">
      <c r="A218">
        <v>0</v>
      </c>
      <c r="B218" s="64">
        <v>42093</v>
      </c>
      <c r="C218" t="s">
        <v>8</v>
      </c>
      <c r="D218">
        <v>10315</v>
      </c>
      <c r="E218">
        <v>11618554</v>
      </c>
    </row>
    <row r="219" spans="1:5">
      <c r="A219">
        <v>0</v>
      </c>
      <c r="B219" s="64">
        <v>42093</v>
      </c>
      <c r="C219" t="s">
        <v>8</v>
      </c>
      <c r="D219">
        <v>10315</v>
      </c>
      <c r="E219">
        <v>11618554</v>
      </c>
    </row>
    <row r="220" spans="1:5">
      <c r="A220">
        <v>0</v>
      </c>
      <c r="B220" s="64">
        <v>42093</v>
      </c>
      <c r="C220" t="s">
        <v>8</v>
      </c>
      <c r="D220">
        <v>10415</v>
      </c>
      <c r="E220">
        <v>11618554</v>
      </c>
    </row>
    <row r="221" spans="1:5">
      <c r="A221">
        <v>0</v>
      </c>
      <c r="B221" s="64">
        <v>42093</v>
      </c>
      <c r="C221" t="s">
        <v>8</v>
      </c>
      <c r="D221">
        <v>10415</v>
      </c>
      <c r="E221">
        <v>11618554</v>
      </c>
    </row>
    <row r="222" spans="1:5">
      <c r="A222">
        <v>0</v>
      </c>
      <c r="B222" s="64">
        <v>42097</v>
      </c>
      <c r="C222" t="s">
        <v>18</v>
      </c>
      <c r="D222">
        <v>10415</v>
      </c>
      <c r="E222">
        <v>2027069</v>
      </c>
    </row>
    <row r="223" spans="1:5">
      <c r="A223">
        <v>0</v>
      </c>
      <c r="B223" s="64">
        <v>42101</v>
      </c>
      <c r="C223" t="s">
        <v>18</v>
      </c>
      <c r="D223">
        <v>10415</v>
      </c>
      <c r="E223">
        <v>7877902</v>
      </c>
    </row>
    <row r="224" spans="1:5">
      <c r="A224">
        <v>0</v>
      </c>
      <c r="B224" s="64">
        <v>42105</v>
      </c>
      <c r="C224" t="s">
        <v>18</v>
      </c>
      <c r="D224">
        <v>10415</v>
      </c>
      <c r="E224">
        <v>16577682</v>
      </c>
    </row>
    <row r="225" spans="1:5">
      <c r="A225">
        <v>0</v>
      </c>
      <c r="B225" s="64">
        <v>42109</v>
      </c>
      <c r="C225" t="s">
        <v>8</v>
      </c>
      <c r="D225">
        <v>10415</v>
      </c>
      <c r="E225">
        <v>18298764</v>
      </c>
    </row>
    <row r="226" spans="1:5">
      <c r="A226">
        <v>0</v>
      </c>
      <c r="B226" s="64">
        <v>42113</v>
      </c>
      <c r="C226" t="s">
        <v>941</v>
      </c>
      <c r="D226">
        <v>10415</v>
      </c>
      <c r="E226">
        <v>1670330</v>
      </c>
    </row>
    <row r="227" spans="1:5">
      <c r="A227">
        <v>0</v>
      </c>
      <c r="B227" s="64">
        <v>42117</v>
      </c>
      <c r="C227" t="s">
        <v>941</v>
      </c>
      <c r="D227">
        <v>10415</v>
      </c>
      <c r="E227">
        <v>1272443</v>
      </c>
    </row>
    <row r="228" spans="1:5">
      <c r="A228">
        <v>0</v>
      </c>
      <c r="B228" s="64">
        <v>42121</v>
      </c>
      <c r="C228" t="s">
        <v>941</v>
      </c>
      <c r="D228">
        <v>10415</v>
      </c>
      <c r="E228">
        <v>15762995</v>
      </c>
    </row>
    <row r="229" spans="1:5">
      <c r="A229">
        <v>0</v>
      </c>
      <c r="B229" s="64">
        <v>42005</v>
      </c>
      <c r="C229" t="s">
        <v>941</v>
      </c>
      <c r="D229">
        <v>10115</v>
      </c>
      <c r="E229">
        <v>16397174</v>
      </c>
    </row>
    <row r="230" spans="1:5">
      <c r="A230">
        <v>0</v>
      </c>
      <c r="B230" s="64">
        <v>42009</v>
      </c>
      <c r="C230" t="s">
        <v>8</v>
      </c>
      <c r="D230">
        <v>10115</v>
      </c>
      <c r="E230">
        <v>11579768</v>
      </c>
    </row>
    <row r="231" spans="1:5">
      <c r="A231">
        <v>0</v>
      </c>
      <c r="B231" s="64">
        <v>42013</v>
      </c>
      <c r="C231" t="s">
        <v>8</v>
      </c>
      <c r="D231">
        <v>10115</v>
      </c>
      <c r="E231">
        <v>13468033</v>
      </c>
    </row>
    <row r="232" spans="1:5">
      <c r="A232">
        <v>0</v>
      </c>
      <c r="B232" s="64">
        <v>42017</v>
      </c>
      <c r="C232" t="s">
        <v>8</v>
      </c>
      <c r="D232">
        <v>10115</v>
      </c>
      <c r="E232">
        <v>12401179</v>
      </c>
    </row>
    <row r="233" spans="1:5">
      <c r="A233">
        <v>0</v>
      </c>
      <c r="B233" s="64">
        <v>42021</v>
      </c>
      <c r="C233" t="s">
        <v>8</v>
      </c>
      <c r="D233">
        <v>10115</v>
      </c>
      <c r="E233">
        <v>14341570</v>
      </c>
    </row>
    <row r="234" spans="1:5">
      <c r="A234">
        <v>0</v>
      </c>
      <c r="B234" s="64">
        <v>42025</v>
      </c>
      <c r="C234" t="s">
        <v>8</v>
      </c>
      <c r="D234">
        <v>10115</v>
      </c>
      <c r="E234">
        <v>9193606</v>
      </c>
    </row>
    <row r="235" spans="1:5">
      <c r="A235">
        <v>0</v>
      </c>
      <c r="B235" s="64">
        <v>42029</v>
      </c>
      <c r="C235" t="s">
        <v>8</v>
      </c>
      <c r="D235">
        <v>10115</v>
      </c>
      <c r="E235">
        <v>15480289</v>
      </c>
    </row>
    <row r="236" spans="1:5">
      <c r="A236">
        <v>0</v>
      </c>
      <c r="B236" s="64">
        <v>42033</v>
      </c>
      <c r="C236" t="s">
        <v>943</v>
      </c>
      <c r="D236">
        <v>10215</v>
      </c>
      <c r="E236">
        <v>8870741</v>
      </c>
    </row>
    <row r="237" spans="1:5">
      <c r="A237">
        <v>0</v>
      </c>
      <c r="B237" s="64">
        <v>42037</v>
      </c>
      <c r="C237" t="s">
        <v>943</v>
      </c>
      <c r="D237">
        <v>10215</v>
      </c>
      <c r="E237">
        <v>23775401</v>
      </c>
    </row>
    <row r="238" spans="1:5">
      <c r="A238">
        <v>0</v>
      </c>
      <c r="B238" s="64">
        <v>42041</v>
      </c>
      <c r="C238" t="s">
        <v>943</v>
      </c>
      <c r="D238">
        <v>10215</v>
      </c>
      <c r="E238">
        <v>13542332</v>
      </c>
    </row>
    <row r="239" spans="1:5">
      <c r="A239">
        <v>0</v>
      </c>
      <c r="B239" s="64">
        <v>42045</v>
      </c>
      <c r="C239" t="s">
        <v>943</v>
      </c>
      <c r="D239">
        <v>10215</v>
      </c>
      <c r="E239">
        <v>14179632</v>
      </c>
    </row>
    <row r="240" spans="1:5">
      <c r="A240">
        <v>0</v>
      </c>
      <c r="B240" s="64">
        <v>42049</v>
      </c>
      <c r="C240" t="s">
        <v>943</v>
      </c>
      <c r="D240">
        <v>10215</v>
      </c>
      <c r="E240">
        <v>9793334</v>
      </c>
    </row>
    <row r="241" spans="1:5">
      <c r="A241">
        <v>0</v>
      </c>
      <c r="B241" s="64">
        <v>42053</v>
      </c>
      <c r="C241" t="s">
        <v>943</v>
      </c>
      <c r="D241">
        <v>10215</v>
      </c>
      <c r="E241">
        <v>10597614</v>
      </c>
    </row>
    <row r="242" spans="1:5">
      <c r="A242">
        <v>0</v>
      </c>
      <c r="B242" s="64">
        <v>42057</v>
      </c>
      <c r="C242" t="s">
        <v>943</v>
      </c>
      <c r="D242">
        <v>10215</v>
      </c>
      <c r="E242">
        <v>17431043</v>
      </c>
    </row>
    <row r="243" spans="1:5">
      <c r="A243">
        <v>0</v>
      </c>
      <c r="B243" s="64">
        <v>42061</v>
      </c>
      <c r="C243" t="s">
        <v>943</v>
      </c>
      <c r="D243">
        <v>10215</v>
      </c>
      <c r="E243">
        <v>12269680</v>
      </c>
    </row>
    <row r="244" spans="1:5">
      <c r="A244">
        <v>0</v>
      </c>
      <c r="B244" s="64">
        <v>42061</v>
      </c>
      <c r="C244" t="s">
        <v>943</v>
      </c>
      <c r="D244">
        <v>10315</v>
      </c>
      <c r="E244">
        <v>12269680</v>
      </c>
    </row>
    <row r="245" spans="1:5">
      <c r="A245">
        <v>0</v>
      </c>
      <c r="B245" s="64">
        <v>42065</v>
      </c>
      <c r="C245" t="s">
        <v>943</v>
      </c>
      <c r="D245">
        <v>10315</v>
      </c>
      <c r="E245">
        <v>13849531</v>
      </c>
    </row>
    <row r="246" spans="1:5">
      <c r="A246">
        <v>0</v>
      </c>
      <c r="B246" s="64">
        <v>42069</v>
      </c>
      <c r="C246" t="s">
        <v>18</v>
      </c>
      <c r="D246">
        <v>10315</v>
      </c>
      <c r="E246">
        <v>11787308</v>
      </c>
    </row>
    <row r="247" spans="1:5">
      <c r="A247">
        <v>0</v>
      </c>
      <c r="B247" s="64">
        <v>42073</v>
      </c>
      <c r="C247" t="s">
        <v>18</v>
      </c>
      <c r="D247">
        <v>10315</v>
      </c>
      <c r="E247">
        <v>3797229</v>
      </c>
    </row>
    <row r="248" spans="1:5">
      <c r="A248">
        <v>0</v>
      </c>
      <c r="B248" s="64">
        <v>42077</v>
      </c>
      <c r="C248" t="s">
        <v>945</v>
      </c>
      <c r="D248">
        <v>10315</v>
      </c>
      <c r="E248">
        <v>16115631</v>
      </c>
    </row>
    <row r="249" spans="1:5">
      <c r="A249">
        <v>0</v>
      </c>
      <c r="B249" s="64">
        <v>42081</v>
      </c>
      <c r="C249" t="s">
        <v>945</v>
      </c>
      <c r="D249">
        <v>10315</v>
      </c>
      <c r="E249">
        <v>13502290</v>
      </c>
    </row>
    <row r="250" spans="1:5">
      <c r="A250">
        <v>0</v>
      </c>
      <c r="B250" s="64">
        <v>42085</v>
      </c>
      <c r="C250" t="s">
        <v>8</v>
      </c>
      <c r="D250">
        <v>10315</v>
      </c>
      <c r="E250">
        <v>10092133</v>
      </c>
    </row>
    <row r="251" spans="1:5">
      <c r="A251">
        <v>0</v>
      </c>
      <c r="B251" s="64">
        <v>42089</v>
      </c>
      <c r="C251" t="s">
        <v>8</v>
      </c>
      <c r="D251">
        <v>10315</v>
      </c>
      <c r="E251">
        <v>18069061</v>
      </c>
    </row>
    <row r="252" spans="1:5">
      <c r="A252">
        <v>0</v>
      </c>
      <c r="B252" s="64">
        <v>42093</v>
      </c>
      <c r="C252" t="s">
        <v>8</v>
      </c>
      <c r="D252">
        <v>10315</v>
      </c>
      <c r="E252">
        <v>13531597</v>
      </c>
    </row>
    <row r="253" spans="1:5">
      <c r="A253">
        <v>0</v>
      </c>
      <c r="B253" s="64">
        <v>42093</v>
      </c>
      <c r="C253" t="s">
        <v>8</v>
      </c>
      <c r="D253">
        <v>10415</v>
      </c>
      <c r="E253">
        <v>13531597</v>
      </c>
    </row>
    <row r="254" spans="1:5">
      <c r="A254">
        <v>0</v>
      </c>
      <c r="B254" s="64">
        <v>42097</v>
      </c>
      <c r="C254" t="s">
        <v>8</v>
      </c>
      <c r="D254">
        <v>10415</v>
      </c>
      <c r="E254">
        <v>6371171</v>
      </c>
    </row>
    <row r="255" spans="1:5">
      <c r="A255">
        <v>0</v>
      </c>
      <c r="B255" s="64">
        <v>42101</v>
      </c>
      <c r="C255" t="s">
        <v>8</v>
      </c>
      <c r="D255">
        <v>10415</v>
      </c>
      <c r="E255">
        <v>12157184</v>
      </c>
    </row>
    <row r="256" spans="1:5">
      <c r="A256">
        <v>0</v>
      </c>
      <c r="B256" s="64">
        <v>42105</v>
      </c>
      <c r="C256" t="s">
        <v>8</v>
      </c>
      <c r="D256">
        <v>10415</v>
      </c>
      <c r="E256">
        <v>18845796</v>
      </c>
    </row>
    <row r="257" spans="1:5">
      <c r="A257">
        <v>0</v>
      </c>
      <c r="B257" s="64">
        <v>42109</v>
      </c>
      <c r="C257" t="s">
        <v>22</v>
      </c>
      <c r="D257">
        <v>10415</v>
      </c>
      <c r="E257">
        <v>11761723</v>
      </c>
    </row>
    <row r="258" spans="1:5">
      <c r="A258">
        <v>0</v>
      </c>
      <c r="B258" s="64">
        <v>42113</v>
      </c>
      <c r="C258" t="s">
        <v>941</v>
      </c>
      <c r="D258">
        <v>10415</v>
      </c>
      <c r="E258">
        <v>14060422</v>
      </c>
    </row>
    <row r="259" spans="1:5">
      <c r="A259">
        <v>0</v>
      </c>
      <c r="B259" s="64">
        <v>42117</v>
      </c>
      <c r="C259" t="s">
        <v>22</v>
      </c>
      <c r="D259">
        <v>10415</v>
      </c>
      <c r="E259">
        <v>14707893</v>
      </c>
    </row>
    <row r="260" spans="1:5">
      <c r="A260">
        <v>0</v>
      </c>
      <c r="B260" s="64">
        <v>42121</v>
      </c>
      <c r="C260" t="s">
        <v>22</v>
      </c>
      <c r="D260">
        <v>10415</v>
      </c>
      <c r="E260">
        <v>10153106</v>
      </c>
    </row>
    <row r="261" spans="1:5">
      <c r="A261">
        <v>0</v>
      </c>
      <c r="B261" s="64">
        <v>42005</v>
      </c>
      <c r="C261" t="s">
        <v>8</v>
      </c>
      <c r="D261">
        <v>10115</v>
      </c>
      <c r="E261">
        <v>17399372</v>
      </c>
    </row>
    <row r="262" spans="1:5">
      <c r="A262">
        <v>0</v>
      </c>
      <c r="B262" s="64">
        <v>42009</v>
      </c>
      <c r="C262" t="s">
        <v>8</v>
      </c>
      <c r="D262">
        <v>10115</v>
      </c>
      <c r="E262">
        <v>14301739</v>
      </c>
    </row>
    <row r="263" spans="1:5">
      <c r="A263">
        <v>0</v>
      </c>
      <c r="B263" s="64">
        <v>42013</v>
      </c>
      <c r="C263" t="s">
        <v>8</v>
      </c>
      <c r="D263">
        <v>10115</v>
      </c>
      <c r="E263">
        <v>16492004</v>
      </c>
    </row>
    <row r="264" spans="1:5">
      <c r="A264">
        <v>0</v>
      </c>
      <c r="B264" s="64">
        <v>42017</v>
      </c>
      <c r="C264" t="s">
        <v>8</v>
      </c>
      <c r="D264">
        <v>10115</v>
      </c>
      <c r="E264">
        <v>7641464</v>
      </c>
    </row>
    <row r="265" spans="1:5">
      <c r="A265">
        <v>0</v>
      </c>
      <c r="B265" s="64">
        <v>42021</v>
      </c>
      <c r="C265" t="s">
        <v>8</v>
      </c>
      <c r="D265">
        <v>10115</v>
      </c>
      <c r="E265">
        <v>8506057</v>
      </c>
    </row>
    <row r="266" spans="1:5">
      <c r="A266">
        <v>0</v>
      </c>
      <c r="B266" s="64">
        <v>42025</v>
      </c>
      <c r="C266" t="s">
        <v>8</v>
      </c>
      <c r="D266">
        <v>10115</v>
      </c>
      <c r="E266">
        <v>5723217</v>
      </c>
    </row>
    <row r="267" spans="1:5">
      <c r="A267">
        <v>0</v>
      </c>
      <c r="B267" s="64">
        <v>42029</v>
      </c>
      <c r="C267" t="s">
        <v>8</v>
      </c>
      <c r="D267">
        <v>10115</v>
      </c>
      <c r="E267">
        <v>8907809</v>
      </c>
    </row>
    <row r="268" spans="1:5">
      <c r="A268">
        <v>0</v>
      </c>
      <c r="B268" s="64">
        <v>42033</v>
      </c>
      <c r="C268" t="s">
        <v>8</v>
      </c>
      <c r="D268">
        <v>10215</v>
      </c>
      <c r="E268">
        <v>18574447</v>
      </c>
    </row>
    <row r="269" spans="1:5">
      <c r="A269">
        <v>0</v>
      </c>
      <c r="B269" s="64">
        <v>42037</v>
      </c>
      <c r="C269" t="s">
        <v>8</v>
      </c>
      <c r="D269">
        <v>10215</v>
      </c>
      <c r="E269">
        <v>4550885</v>
      </c>
    </row>
    <row r="270" spans="1:5">
      <c r="A270">
        <v>0</v>
      </c>
      <c r="B270" s="64">
        <v>42041</v>
      </c>
      <c r="C270" t="s">
        <v>8</v>
      </c>
      <c r="D270">
        <v>10215</v>
      </c>
      <c r="E270">
        <v>13420629</v>
      </c>
    </row>
    <row r="271" spans="1:5">
      <c r="A271">
        <v>0</v>
      </c>
      <c r="B271" s="64">
        <v>42045</v>
      </c>
      <c r="C271" t="s">
        <v>8</v>
      </c>
      <c r="D271">
        <v>10215</v>
      </c>
      <c r="E271">
        <v>14095559</v>
      </c>
    </row>
    <row r="272" spans="1:5">
      <c r="A272">
        <v>0</v>
      </c>
      <c r="B272" s="64">
        <v>42049</v>
      </c>
      <c r="C272" t="s">
        <v>8</v>
      </c>
      <c r="D272">
        <v>10215</v>
      </c>
      <c r="E272">
        <v>11095047</v>
      </c>
    </row>
    <row r="273" spans="1:5">
      <c r="A273">
        <v>0</v>
      </c>
      <c r="B273" s="64">
        <v>42053</v>
      </c>
      <c r="C273" t="s">
        <v>8</v>
      </c>
      <c r="D273">
        <v>10215</v>
      </c>
      <c r="E273">
        <v>7627708</v>
      </c>
    </row>
    <row r="274" spans="1:5">
      <c r="A274">
        <v>0</v>
      </c>
      <c r="B274" s="64">
        <v>42057</v>
      </c>
      <c r="C274" t="s">
        <v>8</v>
      </c>
      <c r="D274">
        <v>10215</v>
      </c>
      <c r="E274">
        <v>9453910</v>
      </c>
    </row>
    <row r="275" spans="1:5">
      <c r="A275">
        <v>0</v>
      </c>
      <c r="B275" s="64">
        <v>42061</v>
      </c>
      <c r="C275" t="s">
        <v>8</v>
      </c>
      <c r="D275">
        <v>10215</v>
      </c>
      <c r="E275">
        <v>1948358</v>
      </c>
    </row>
    <row r="276" spans="1:5">
      <c r="A276">
        <v>0</v>
      </c>
      <c r="B276" s="64">
        <v>42061</v>
      </c>
      <c r="C276" t="s">
        <v>8</v>
      </c>
      <c r="D276">
        <v>10315</v>
      </c>
      <c r="E276">
        <v>1948358</v>
      </c>
    </row>
    <row r="277" spans="1:5">
      <c r="A277">
        <v>0</v>
      </c>
      <c r="B277" s="64">
        <v>42065</v>
      </c>
      <c r="C277" t="s">
        <v>8</v>
      </c>
      <c r="D277">
        <v>10315</v>
      </c>
      <c r="E277">
        <v>6978694</v>
      </c>
    </row>
    <row r="278" spans="1:5">
      <c r="A278">
        <v>0</v>
      </c>
      <c r="B278" s="64">
        <v>42069</v>
      </c>
      <c r="C278" t="s">
        <v>8</v>
      </c>
      <c r="D278">
        <v>10315</v>
      </c>
      <c r="E278">
        <v>12949085</v>
      </c>
    </row>
    <row r="279" spans="1:5">
      <c r="A279">
        <v>0</v>
      </c>
      <c r="B279" s="64">
        <v>42073</v>
      </c>
      <c r="C279" t="s">
        <v>8</v>
      </c>
      <c r="D279">
        <v>10315</v>
      </c>
      <c r="E279">
        <v>22646506</v>
      </c>
    </row>
    <row r="280" spans="1:5">
      <c r="A280">
        <v>0</v>
      </c>
      <c r="B280" s="64">
        <v>42077</v>
      </c>
      <c r="C280" t="s">
        <v>8</v>
      </c>
      <c r="D280">
        <v>10315</v>
      </c>
      <c r="E280">
        <v>15844890</v>
      </c>
    </row>
    <row r="281" spans="1:5">
      <c r="A281">
        <v>0</v>
      </c>
      <c r="B281" s="64">
        <v>42081</v>
      </c>
      <c r="C281" t="s">
        <v>8</v>
      </c>
      <c r="D281">
        <v>10315</v>
      </c>
      <c r="E281">
        <v>4687265</v>
      </c>
    </row>
    <row r="282" spans="1:5">
      <c r="A282">
        <v>0</v>
      </c>
      <c r="B282" s="64">
        <v>42085</v>
      </c>
      <c r="C282" t="s">
        <v>8</v>
      </c>
      <c r="D282">
        <v>10315</v>
      </c>
      <c r="E282">
        <v>6112862</v>
      </c>
    </row>
    <row r="283" spans="1:5">
      <c r="A283">
        <v>0</v>
      </c>
      <c r="B283" s="64">
        <v>42089</v>
      </c>
      <c r="C283" t="s">
        <v>22</v>
      </c>
      <c r="D283">
        <v>10315</v>
      </c>
      <c r="E283">
        <v>13962190</v>
      </c>
    </row>
    <row r="284" spans="1:5">
      <c r="A284">
        <v>0</v>
      </c>
      <c r="B284" s="64">
        <v>42093</v>
      </c>
      <c r="C284" t="s">
        <v>22</v>
      </c>
      <c r="D284">
        <v>10315</v>
      </c>
      <c r="E284">
        <v>5049787</v>
      </c>
    </row>
    <row r="285" spans="1:5">
      <c r="A285">
        <v>0</v>
      </c>
      <c r="B285" s="64">
        <v>42093</v>
      </c>
      <c r="C285" t="s">
        <v>22</v>
      </c>
      <c r="D285">
        <v>10415</v>
      </c>
      <c r="E285">
        <v>5049787</v>
      </c>
    </row>
    <row r="286" spans="1:5">
      <c r="A286">
        <v>0</v>
      </c>
      <c r="B286" s="64">
        <v>42097</v>
      </c>
      <c r="C286" t="s">
        <v>22</v>
      </c>
      <c r="D286">
        <v>10415</v>
      </c>
      <c r="E286">
        <v>17890127</v>
      </c>
    </row>
    <row r="287" spans="1:5">
      <c r="A287">
        <v>0</v>
      </c>
      <c r="B287" s="64">
        <v>42101</v>
      </c>
      <c r="C287" t="s">
        <v>8</v>
      </c>
      <c r="D287">
        <v>10415</v>
      </c>
      <c r="E287">
        <v>17071965</v>
      </c>
    </row>
    <row r="288" spans="1:5">
      <c r="A288">
        <v>0</v>
      </c>
      <c r="B288" s="64">
        <v>42105</v>
      </c>
      <c r="C288" t="s">
        <v>8</v>
      </c>
      <c r="D288">
        <v>10415</v>
      </c>
      <c r="E288">
        <v>14049337</v>
      </c>
    </row>
    <row r="289" spans="1:5">
      <c r="A289">
        <v>0</v>
      </c>
      <c r="B289" s="64">
        <v>42109</v>
      </c>
      <c r="C289" t="s">
        <v>8</v>
      </c>
      <c r="D289">
        <v>10415</v>
      </c>
      <c r="E289">
        <v>8747911</v>
      </c>
    </row>
    <row r="290" spans="1:5">
      <c r="A290">
        <v>0</v>
      </c>
      <c r="B290" s="64">
        <v>42113</v>
      </c>
      <c r="C290" t="s">
        <v>8</v>
      </c>
      <c r="D290">
        <v>10415</v>
      </c>
      <c r="E290">
        <v>7220729</v>
      </c>
    </row>
    <row r="291" spans="1:5">
      <c r="A291">
        <v>0</v>
      </c>
      <c r="B291" s="64">
        <v>42117</v>
      </c>
      <c r="C291" t="s">
        <v>18</v>
      </c>
      <c r="D291">
        <v>10415</v>
      </c>
      <c r="E291">
        <v>6207225</v>
      </c>
    </row>
    <row r="292" spans="1:5">
      <c r="A292">
        <v>0</v>
      </c>
      <c r="B292" s="64">
        <v>42121</v>
      </c>
      <c r="C292" t="s">
        <v>18</v>
      </c>
      <c r="D292">
        <v>10415</v>
      </c>
      <c r="E292">
        <v>12968906</v>
      </c>
    </row>
    <row r="293" spans="1:5">
      <c r="A293">
        <v>0</v>
      </c>
      <c r="B293" s="64">
        <v>42005</v>
      </c>
      <c r="C293" t="s">
        <v>18</v>
      </c>
      <c r="D293">
        <v>10115</v>
      </c>
      <c r="E293">
        <v>12751379</v>
      </c>
    </row>
    <row r="294" spans="1:5">
      <c r="A294">
        <v>0</v>
      </c>
      <c r="B294" s="64">
        <v>42009</v>
      </c>
      <c r="C294" t="s">
        <v>18</v>
      </c>
      <c r="D294">
        <v>10115</v>
      </c>
      <c r="E294">
        <v>7488918</v>
      </c>
    </row>
    <row r="295" spans="1:5">
      <c r="A295">
        <v>0</v>
      </c>
      <c r="B295" s="64">
        <v>42013</v>
      </c>
      <c r="C295" t="s">
        <v>18</v>
      </c>
      <c r="D295">
        <v>10115</v>
      </c>
      <c r="E295">
        <v>11942853</v>
      </c>
    </row>
    <row r="296" spans="1:5">
      <c r="A296">
        <v>0</v>
      </c>
      <c r="B296" s="64">
        <v>42017</v>
      </c>
      <c r="C296" t="s">
        <v>18</v>
      </c>
      <c r="D296">
        <v>10115</v>
      </c>
      <c r="E296">
        <v>14716046</v>
      </c>
    </row>
    <row r="297" spans="1:5">
      <c r="A297">
        <v>0</v>
      </c>
      <c r="B297" s="64">
        <v>42021</v>
      </c>
      <c r="C297" t="s">
        <v>945</v>
      </c>
      <c r="D297">
        <v>10115</v>
      </c>
      <c r="E297">
        <v>16667811</v>
      </c>
    </row>
    <row r="298" spans="1:5">
      <c r="A298">
        <v>0</v>
      </c>
      <c r="B298" s="64">
        <v>42025</v>
      </c>
      <c r="C298" t="s">
        <v>945</v>
      </c>
      <c r="D298">
        <v>10115</v>
      </c>
      <c r="E298">
        <v>13403374</v>
      </c>
    </row>
    <row r="299" spans="1:5">
      <c r="A299">
        <v>0</v>
      </c>
      <c r="B299" s="64">
        <v>42029</v>
      </c>
      <c r="C299" t="s">
        <v>945</v>
      </c>
      <c r="D299">
        <v>10115</v>
      </c>
      <c r="E299">
        <v>18173326</v>
      </c>
    </row>
    <row r="300" spans="1:5">
      <c r="A300">
        <v>0</v>
      </c>
      <c r="B300" s="64">
        <v>42033</v>
      </c>
      <c r="C300" t="s">
        <v>945</v>
      </c>
      <c r="D300">
        <v>10215</v>
      </c>
      <c r="E300">
        <v>5518268</v>
      </c>
    </row>
    <row r="301" spans="1:5">
      <c r="A301">
        <v>0</v>
      </c>
      <c r="B301" s="64">
        <v>42037</v>
      </c>
      <c r="C301" t="s">
        <v>8</v>
      </c>
      <c r="D301">
        <v>10215</v>
      </c>
      <c r="E301">
        <v>12168893</v>
      </c>
    </row>
    <row r="302" spans="1:5">
      <c r="A302">
        <v>0</v>
      </c>
      <c r="B302" s="64">
        <v>42041</v>
      </c>
      <c r="C302" t="s">
        <v>8</v>
      </c>
      <c r="D302">
        <v>10215</v>
      </c>
      <c r="E302">
        <v>16433096</v>
      </c>
    </row>
    <row r="303" spans="1:5">
      <c r="A303">
        <v>0</v>
      </c>
      <c r="B303" s="64">
        <v>42045</v>
      </c>
      <c r="C303" t="s">
        <v>8</v>
      </c>
      <c r="D303">
        <v>10215</v>
      </c>
      <c r="E303">
        <v>8851419</v>
      </c>
    </row>
    <row r="304" spans="1:5">
      <c r="A304">
        <v>0</v>
      </c>
      <c r="B304" s="64">
        <v>42049</v>
      </c>
      <c r="C304" t="s">
        <v>8</v>
      </c>
      <c r="D304">
        <v>10215</v>
      </c>
      <c r="E304">
        <v>14457300</v>
      </c>
    </row>
    <row r="305" spans="1:5">
      <c r="A305">
        <v>0</v>
      </c>
      <c r="B305" s="64">
        <v>42053</v>
      </c>
      <c r="C305" t="s">
        <v>18</v>
      </c>
      <c r="D305">
        <v>10215</v>
      </c>
      <c r="E305">
        <v>5187532</v>
      </c>
    </row>
    <row r="306" spans="1:5">
      <c r="A306">
        <v>0</v>
      </c>
      <c r="B306" s="64">
        <v>42057</v>
      </c>
      <c r="C306" t="s">
        <v>18</v>
      </c>
      <c r="D306">
        <v>10215</v>
      </c>
      <c r="E306">
        <v>8427018</v>
      </c>
    </row>
    <row r="307" spans="1:5">
      <c r="A307">
        <v>0</v>
      </c>
      <c r="B307" s="64">
        <v>42061</v>
      </c>
      <c r="C307" t="s">
        <v>18</v>
      </c>
      <c r="D307">
        <v>10215</v>
      </c>
      <c r="E307">
        <v>14465947</v>
      </c>
    </row>
    <row r="308" spans="1:5">
      <c r="A308">
        <v>0</v>
      </c>
      <c r="B308" s="64">
        <v>42061</v>
      </c>
      <c r="C308" t="s">
        <v>18</v>
      </c>
      <c r="D308">
        <v>10315</v>
      </c>
      <c r="E308">
        <v>14465947</v>
      </c>
    </row>
    <row r="309" spans="1:5">
      <c r="A309">
        <v>0</v>
      </c>
      <c r="B309" s="64">
        <v>42065</v>
      </c>
      <c r="C309" t="s">
        <v>18</v>
      </c>
      <c r="D309">
        <v>10315</v>
      </c>
      <c r="E309">
        <v>9970691</v>
      </c>
    </row>
    <row r="310" spans="1:5">
      <c r="A310">
        <v>0</v>
      </c>
      <c r="B310" s="64">
        <v>42069</v>
      </c>
      <c r="C310" t="s">
        <v>22</v>
      </c>
      <c r="D310">
        <v>10315</v>
      </c>
      <c r="E310">
        <v>9813236</v>
      </c>
    </row>
    <row r="311" spans="1:5">
      <c r="A311">
        <v>0</v>
      </c>
      <c r="B311" s="64">
        <v>42073</v>
      </c>
      <c r="C311" t="s">
        <v>22</v>
      </c>
      <c r="D311">
        <v>10315</v>
      </c>
      <c r="E311">
        <v>8206432</v>
      </c>
    </row>
    <row r="312" spans="1:5">
      <c r="A312">
        <v>0</v>
      </c>
      <c r="B312" s="64">
        <v>42077</v>
      </c>
      <c r="C312" t="s">
        <v>22</v>
      </c>
      <c r="D312">
        <v>10315</v>
      </c>
      <c r="E312">
        <v>11397297</v>
      </c>
    </row>
    <row r="313" spans="1:5">
      <c r="A313">
        <v>0</v>
      </c>
      <c r="B313" s="64">
        <v>42081</v>
      </c>
      <c r="C313" t="s">
        <v>941</v>
      </c>
      <c r="D313">
        <v>10315</v>
      </c>
      <c r="E313">
        <v>5549335</v>
      </c>
    </row>
    <row r="314" spans="1:5">
      <c r="A314">
        <v>0</v>
      </c>
      <c r="B314" s="64">
        <v>42085</v>
      </c>
      <c r="C314" t="s">
        <v>941</v>
      </c>
      <c r="D314">
        <v>10315</v>
      </c>
      <c r="E314">
        <v>15445576</v>
      </c>
    </row>
    <row r="315" spans="1:5">
      <c r="A315">
        <v>0</v>
      </c>
      <c r="B315" s="64">
        <v>42089</v>
      </c>
      <c r="C315" t="s">
        <v>8</v>
      </c>
      <c r="D315">
        <v>10315</v>
      </c>
      <c r="E315">
        <v>13262369</v>
      </c>
    </row>
    <row r="316" spans="1:5">
      <c r="A316">
        <v>0</v>
      </c>
      <c r="B316" s="64">
        <v>42093</v>
      </c>
      <c r="C316" t="s">
        <v>8</v>
      </c>
      <c r="D316">
        <v>10315</v>
      </c>
      <c r="E316">
        <v>13401663</v>
      </c>
    </row>
    <row r="317" spans="1:5">
      <c r="A317">
        <v>0</v>
      </c>
      <c r="B317" s="64">
        <v>42093</v>
      </c>
      <c r="C317" t="s">
        <v>8</v>
      </c>
      <c r="D317">
        <v>10415</v>
      </c>
      <c r="E317">
        <v>13401663</v>
      </c>
    </row>
    <row r="318" spans="1:5">
      <c r="A318">
        <v>0</v>
      </c>
      <c r="B318" s="64">
        <v>42097</v>
      </c>
      <c r="C318" t="s">
        <v>8</v>
      </c>
      <c r="D318">
        <v>10415</v>
      </c>
      <c r="E318">
        <v>7798056</v>
      </c>
    </row>
    <row r="319" spans="1:5">
      <c r="A319">
        <v>0</v>
      </c>
      <c r="B319" s="64">
        <v>42101</v>
      </c>
      <c r="C319" t="s">
        <v>8</v>
      </c>
      <c r="D319">
        <v>10415</v>
      </c>
      <c r="E319">
        <v>13761574</v>
      </c>
    </row>
    <row r="320" spans="1:5">
      <c r="A320">
        <v>0</v>
      </c>
      <c r="B320" s="64">
        <v>42105</v>
      </c>
      <c r="C320" t="s">
        <v>951</v>
      </c>
      <c r="D320">
        <v>10415</v>
      </c>
      <c r="E320">
        <v>9314925</v>
      </c>
    </row>
    <row r="321" spans="1:5">
      <c r="A321">
        <v>0</v>
      </c>
      <c r="B321" s="64">
        <v>42109</v>
      </c>
      <c r="C321" t="s">
        <v>951</v>
      </c>
      <c r="D321">
        <v>10415</v>
      </c>
      <c r="E321">
        <v>11696064</v>
      </c>
    </row>
    <row r="322" spans="1:5">
      <c r="A322">
        <v>0</v>
      </c>
      <c r="B322" s="64">
        <v>42113</v>
      </c>
      <c r="C322" t="s">
        <v>951</v>
      </c>
      <c r="D322">
        <v>10415</v>
      </c>
      <c r="E322">
        <v>3459428</v>
      </c>
    </row>
    <row r="323" spans="1:5">
      <c r="A323">
        <v>0</v>
      </c>
      <c r="B323" s="64">
        <v>42117</v>
      </c>
      <c r="C323" t="s">
        <v>951</v>
      </c>
      <c r="D323">
        <v>10415</v>
      </c>
      <c r="E323">
        <v>3735361</v>
      </c>
    </row>
    <row r="324" spans="1:5">
      <c r="A324">
        <v>0</v>
      </c>
      <c r="B324" s="64">
        <v>42121</v>
      </c>
      <c r="C324" t="s">
        <v>8</v>
      </c>
      <c r="D324">
        <v>10415</v>
      </c>
      <c r="E324">
        <v>10541968</v>
      </c>
    </row>
    <row r="325" spans="1:5">
      <c r="A325">
        <v>0</v>
      </c>
      <c r="B325" s="64">
        <v>42005</v>
      </c>
      <c r="C325" t="s">
        <v>22</v>
      </c>
      <c r="D325">
        <v>10115</v>
      </c>
      <c r="E325">
        <v>20606027</v>
      </c>
    </row>
    <row r="326" spans="1:5">
      <c r="A326">
        <v>0</v>
      </c>
      <c r="B326" s="64">
        <v>42009</v>
      </c>
      <c r="C326" t="s">
        <v>945</v>
      </c>
      <c r="D326">
        <v>10115</v>
      </c>
      <c r="E326">
        <v>8039784</v>
      </c>
    </row>
    <row r="327" spans="1:5">
      <c r="A327">
        <v>0</v>
      </c>
      <c r="B327" s="64">
        <v>42013</v>
      </c>
      <c r="C327" t="s">
        <v>945</v>
      </c>
      <c r="D327">
        <v>10115</v>
      </c>
      <c r="E327">
        <v>11901053</v>
      </c>
    </row>
    <row r="328" spans="1:5">
      <c r="A328">
        <v>0</v>
      </c>
      <c r="B328" s="64">
        <v>42017</v>
      </c>
      <c r="C328" t="s">
        <v>945</v>
      </c>
      <c r="D328">
        <v>10115</v>
      </c>
      <c r="E328">
        <v>12091933</v>
      </c>
    </row>
    <row r="329" spans="1:5">
      <c r="A329">
        <v>0</v>
      </c>
      <c r="B329" s="64">
        <v>42021</v>
      </c>
      <c r="C329" t="s">
        <v>945</v>
      </c>
      <c r="D329">
        <v>10115</v>
      </c>
      <c r="E329">
        <v>17605684</v>
      </c>
    </row>
    <row r="330" spans="1:5">
      <c r="A330">
        <v>0</v>
      </c>
      <c r="B330" s="64">
        <v>42025</v>
      </c>
      <c r="C330" t="s">
        <v>941</v>
      </c>
      <c r="D330">
        <v>10115</v>
      </c>
      <c r="E330">
        <v>7936396</v>
      </c>
    </row>
    <row r="331" spans="1:5">
      <c r="A331">
        <v>0</v>
      </c>
      <c r="B331" s="64">
        <v>42029</v>
      </c>
      <c r="C331" t="s">
        <v>941</v>
      </c>
      <c r="D331">
        <v>10115</v>
      </c>
      <c r="E331">
        <v>7039855</v>
      </c>
    </row>
    <row r="332" spans="1:5">
      <c r="A332">
        <v>0</v>
      </c>
      <c r="B332" s="64">
        <v>42033</v>
      </c>
      <c r="C332" t="s">
        <v>941</v>
      </c>
      <c r="D332">
        <v>10215</v>
      </c>
      <c r="E332">
        <v>16117484</v>
      </c>
    </row>
    <row r="333" spans="1:5">
      <c r="A333">
        <v>0</v>
      </c>
      <c r="B333" s="64">
        <v>42037</v>
      </c>
      <c r="C333" t="s">
        <v>945</v>
      </c>
      <c r="D333">
        <v>10215</v>
      </c>
      <c r="E333">
        <v>10790428</v>
      </c>
    </row>
    <row r="334" spans="1:5">
      <c r="A334">
        <v>0</v>
      </c>
      <c r="B334" s="64">
        <v>42041</v>
      </c>
      <c r="C334" t="s">
        <v>945</v>
      </c>
      <c r="D334">
        <v>10215</v>
      </c>
      <c r="E334">
        <v>6480189</v>
      </c>
    </row>
    <row r="335" spans="1:5">
      <c r="A335">
        <v>0</v>
      </c>
      <c r="B335" s="64">
        <v>42045</v>
      </c>
      <c r="C335" t="s">
        <v>941</v>
      </c>
      <c r="D335">
        <v>10215</v>
      </c>
      <c r="E335">
        <v>7458190</v>
      </c>
    </row>
    <row r="336" spans="1:5">
      <c r="A336">
        <v>0</v>
      </c>
      <c r="B336" s="64">
        <v>42049</v>
      </c>
      <c r="C336" t="s">
        <v>941</v>
      </c>
      <c r="D336">
        <v>10215</v>
      </c>
      <c r="E336">
        <v>12430650</v>
      </c>
    </row>
    <row r="337" spans="1:5">
      <c r="A337">
        <v>0</v>
      </c>
      <c r="B337" s="64">
        <v>42053</v>
      </c>
      <c r="C337" t="s">
        <v>941</v>
      </c>
      <c r="D337">
        <v>10215</v>
      </c>
      <c r="E337">
        <v>14766609</v>
      </c>
    </row>
    <row r="338" spans="1:5">
      <c r="A338">
        <v>0</v>
      </c>
      <c r="B338" s="64">
        <v>42057</v>
      </c>
      <c r="C338" t="s">
        <v>941</v>
      </c>
      <c r="D338">
        <v>10215</v>
      </c>
      <c r="E338">
        <v>13316377</v>
      </c>
    </row>
    <row r="339" spans="1:5">
      <c r="A339">
        <v>0</v>
      </c>
      <c r="B339" s="64">
        <v>42061</v>
      </c>
      <c r="C339" t="s">
        <v>941</v>
      </c>
      <c r="D339">
        <v>10215</v>
      </c>
      <c r="E339">
        <v>15652751</v>
      </c>
    </row>
    <row r="340" spans="1:5">
      <c r="A340">
        <v>0</v>
      </c>
      <c r="B340" s="64">
        <v>42061</v>
      </c>
      <c r="C340" t="s">
        <v>941</v>
      </c>
      <c r="D340">
        <v>10315</v>
      </c>
      <c r="E340">
        <v>15652751</v>
      </c>
    </row>
    <row r="341" spans="1:5">
      <c r="A341">
        <v>0</v>
      </c>
      <c r="B341" s="64">
        <v>42065</v>
      </c>
      <c r="C341" t="s">
        <v>941</v>
      </c>
      <c r="D341">
        <v>10315</v>
      </c>
      <c r="E341">
        <v>11297463</v>
      </c>
    </row>
    <row r="342" spans="1:5">
      <c r="A342">
        <v>0</v>
      </c>
      <c r="B342" s="64">
        <v>42069</v>
      </c>
      <c r="C342" t="s">
        <v>941</v>
      </c>
      <c r="D342">
        <v>10315</v>
      </c>
      <c r="E342">
        <v>10673318</v>
      </c>
    </row>
    <row r="343" spans="1:5">
      <c r="A343">
        <v>0</v>
      </c>
      <c r="B343" s="64">
        <v>42073</v>
      </c>
      <c r="C343" t="s">
        <v>941</v>
      </c>
      <c r="D343">
        <v>10315</v>
      </c>
      <c r="E343">
        <v>10040877</v>
      </c>
    </row>
    <row r="344" spans="1:5">
      <c r="A344">
        <v>0</v>
      </c>
      <c r="B344" s="64">
        <v>42077</v>
      </c>
      <c r="C344" t="s">
        <v>941</v>
      </c>
      <c r="D344">
        <v>10315</v>
      </c>
      <c r="E344">
        <v>7688508</v>
      </c>
    </row>
    <row r="345" spans="1:5">
      <c r="A345">
        <v>0</v>
      </c>
      <c r="B345" s="64">
        <v>42081</v>
      </c>
      <c r="C345" t="s">
        <v>941</v>
      </c>
      <c r="D345">
        <v>10315</v>
      </c>
      <c r="E345">
        <v>10817502</v>
      </c>
    </row>
    <row r="346" spans="1:5">
      <c r="A346">
        <v>0</v>
      </c>
      <c r="B346" s="64">
        <v>42085</v>
      </c>
      <c r="C346" t="s">
        <v>941</v>
      </c>
      <c r="D346">
        <v>10315</v>
      </c>
      <c r="E346">
        <v>17966298</v>
      </c>
    </row>
    <row r="347" spans="1:5">
      <c r="A347">
        <v>0</v>
      </c>
      <c r="B347" s="64">
        <v>42089</v>
      </c>
      <c r="C347" t="s">
        <v>941</v>
      </c>
      <c r="D347">
        <v>10315</v>
      </c>
      <c r="E347">
        <v>11696561</v>
      </c>
    </row>
    <row r="348" spans="1:5">
      <c r="A348">
        <v>0</v>
      </c>
      <c r="B348" s="64">
        <v>42093</v>
      </c>
      <c r="C348" t="s">
        <v>941</v>
      </c>
      <c r="D348">
        <v>10315</v>
      </c>
      <c r="E348">
        <v>2842306</v>
      </c>
    </row>
    <row r="349" spans="1:5">
      <c r="A349">
        <v>0</v>
      </c>
      <c r="B349" s="64">
        <v>42093</v>
      </c>
      <c r="C349" t="s">
        <v>941</v>
      </c>
      <c r="D349">
        <v>10415</v>
      </c>
      <c r="E349">
        <v>2842306</v>
      </c>
    </row>
    <row r="350" spans="1:5">
      <c r="A350">
        <v>0</v>
      </c>
      <c r="B350" s="64">
        <v>42097</v>
      </c>
      <c r="C350" t="s">
        <v>941</v>
      </c>
      <c r="D350">
        <v>10415</v>
      </c>
      <c r="E350">
        <v>13791406</v>
      </c>
    </row>
    <row r="351" spans="1:5">
      <c r="A351">
        <v>0</v>
      </c>
      <c r="B351" s="64">
        <v>42101</v>
      </c>
      <c r="C351" t="s">
        <v>941</v>
      </c>
      <c r="D351">
        <v>10415</v>
      </c>
      <c r="E351">
        <v>17806903</v>
      </c>
    </row>
    <row r="352" spans="1:5">
      <c r="A352">
        <v>0</v>
      </c>
      <c r="B352" s="64">
        <v>42105</v>
      </c>
      <c r="C352" t="s">
        <v>941</v>
      </c>
      <c r="D352">
        <v>10415</v>
      </c>
      <c r="E352">
        <v>13529749</v>
      </c>
    </row>
    <row r="353" spans="1:5">
      <c r="A353">
        <v>0</v>
      </c>
      <c r="B353" s="64">
        <v>42109</v>
      </c>
      <c r="C353" t="s">
        <v>941</v>
      </c>
      <c r="D353">
        <v>10415</v>
      </c>
      <c r="E353">
        <v>10198320</v>
      </c>
    </row>
    <row r="354" spans="1:5">
      <c r="A354">
        <v>0</v>
      </c>
      <c r="B354" s="64">
        <v>42113</v>
      </c>
      <c r="C354" t="s">
        <v>941</v>
      </c>
      <c r="D354">
        <v>10415</v>
      </c>
      <c r="E354">
        <v>2485376</v>
      </c>
    </row>
    <row r="355" spans="1:5">
      <c r="A355">
        <v>0</v>
      </c>
      <c r="B355" s="64">
        <v>42117</v>
      </c>
      <c r="C355" t="s">
        <v>941</v>
      </c>
      <c r="D355">
        <v>10415</v>
      </c>
      <c r="E355">
        <v>7139323</v>
      </c>
    </row>
    <row r="356" spans="1:5">
      <c r="A356">
        <v>0</v>
      </c>
      <c r="B356" s="64">
        <v>42121</v>
      </c>
      <c r="C356" t="s">
        <v>941</v>
      </c>
      <c r="D356">
        <v>10415</v>
      </c>
      <c r="E356">
        <v>9893191</v>
      </c>
    </row>
    <row r="357" spans="1:5">
      <c r="A357">
        <v>0</v>
      </c>
      <c r="B357" s="64">
        <v>42005</v>
      </c>
      <c r="C357" t="s">
        <v>941</v>
      </c>
      <c r="D357">
        <v>10115</v>
      </c>
      <c r="E357">
        <v>13754171</v>
      </c>
    </row>
    <row r="358" spans="1:5">
      <c r="A358">
        <v>0</v>
      </c>
      <c r="B358" s="64">
        <v>42009</v>
      </c>
      <c r="C358" t="s">
        <v>941</v>
      </c>
      <c r="D358">
        <v>10115</v>
      </c>
      <c r="E358">
        <v>12077040</v>
      </c>
    </row>
    <row r="359" spans="1:5">
      <c r="A359">
        <v>0</v>
      </c>
      <c r="B359" s="64">
        <v>42013</v>
      </c>
      <c r="C359" t="s">
        <v>941</v>
      </c>
      <c r="D359">
        <v>10115</v>
      </c>
      <c r="E359">
        <v>15870060</v>
      </c>
    </row>
    <row r="360" spans="1:5">
      <c r="A360">
        <v>0</v>
      </c>
      <c r="B360" s="64">
        <v>42017</v>
      </c>
      <c r="C360" t="s">
        <v>941</v>
      </c>
      <c r="D360">
        <v>10115</v>
      </c>
      <c r="E360">
        <v>12972974</v>
      </c>
    </row>
    <row r="361" spans="1:5">
      <c r="A361">
        <v>0</v>
      </c>
      <c r="B361" s="64">
        <v>42021</v>
      </c>
      <c r="C361" t="s">
        <v>941</v>
      </c>
      <c r="D361">
        <v>10115</v>
      </c>
      <c r="E361">
        <v>16576213</v>
      </c>
    </row>
    <row r="362" spans="1:5">
      <c r="A362">
        <v>0</v>
      </c>
      <c r="B362" s="64">
        <v>42025</v>
      </c>
      <c r="C362" t="s">
        <v>941</v>
      </c>
      <c r="D362">
        <v>10115</v>
      </c>
      <c r="E362">
        <v>14499563</v>
      </c>
    </row>
    <row r="363" spans="1:5">
      <c r="A363">
        <v>0</v>
      </c>
      <c r="B363" s="64">
        <v>42029</v>
      </c>
      <c r="C363" t="s">
        <v>945</v>
      </c>
      <c r="D363">
        <v>10115</v>
      </c>
      <c r="E363">
        <v>9760644</v>
      </c>
    </row>
    <row r="364" spans="1:5">
      <c r="A364">
        <v>0</v>
      </c>
      <c r="B364" s="64">
        <v>42033</v>
      </c>
      <c r="C364" t="s">
        <v>941</v>
      </c>
      <c r="D364">
        <v>10215</v>
      </c>
      <c r="E364">
        <v>7765249</v>
      </c>
    </row>
    <row r="365" spans="1:5">
      <c r="A365">
        <v>0</v>
      </c>
      <c r="B365" s="64">
        <v>42037</v>
      </c>
      <c r="C365" t="s">
        <v>941</v>
      </c>
      <c r="D365">
        <v>10215</v>
      </c>
      <c r="E365">
        <v>14338035</v>
      </c>
    </row>
    <row r="366" spans="1:5">
      <c r="A366">
        <v>0</v>
      </c>
      <c r="B366" s="64">
        <v>42041</v>
      </c>
      <c r="C366" t="s">
        <v>941</v>
      </c>
      <c r="D366">
        <v>10215</v>
      </c>
      <c r="E366">
        <v>11699674</v>
      </c>
    </row>
    <row r="367" spans="1:5">
      <c r="A367">
        <v>0</v>
      </c>
      <c r="B367" s="64">
        <v>42045</v>
      </c>
      <c r="C367" t="s">
        <v>941</v>
      </c>
      <c r="D367">
        <v>10215</v>
      </c>
      <c r="E367">
        <v>4167016</v>
      </c>
    </row>
    <row r="368" spans="1:5">
      <c r="A368">
        <v>0</v>
      </c>
      <c r="B368" s="64">
        <v>42049</v>
      </c>
      <c r="C368" t="s">
        <v>941</v>
      </c>
      <c r="D368">
        <v>10215</v>
      </c>
      <c r="E368">
        <v>3059506</v>
      </c>
    </row>
    <row r="369" spans="1:5">
      <c r="A369">
        <v>0</v>
      </c>
      <c r="B369" s="64">
        <v>42053</v>
      </c>
      <c r="C369" t="s">
        <v>941</v>
      </c>
      <c r="D369">
        <v>10215</v>
      </c>
      <c r="E369">
        <v>20544485</v>
      </c>
    </row>
    <row r="370" spans="1:5">
      <c r="A370">
        <v>0</v>
      </c>
      <c r="B370" s="64">
        <v>42057</v>
      </c>
      <c r="C370" t="s">
        <v>941</v>
      </c>
      <c r="D370">
        <v>10215</v>
      </c>
      <c r="E370">
        <v>2530320</v>
      </c>
    </row>
    <row r="371" spans="1:5">
      <c r="A371">
        <v>0</v>
      </c>
      <c r="B371" s="64">
        <v>42061</v>
      </c>
      <c r="C371" t="s">
        <v>941</v>
      </c>
      <c r="D371">
        <v>10215</v>
      </c>
      <c r="E371">
        <v>14389888</v>
      </c>
    </row>
    <row r="372" spans="1:5">
      <c r="A372">
        <v>0</v>
      </c>
      <c r="B372" s="64">
        <v>42061</v>
      </c>
      <c r="C372" t="s">
        <v>941</v>
      </c>
      <c r="D372">
        <v>10315</v>
      </c>
      <c r="E372">
        <v>14389888</v>
      </c>
    </row>
    <row r="373" spans="1:5">
      <c r="A373">
        <v>0</v>
      </c>
      <c r="B373" s="64">
        <v>42065</v>
      </c>
      <c r="C373" t="s">
        <v>941</v>
      </c>
      <c r="D373">
        <v>10315</v>
      </c>
      <c r="E373">
        <v>7127578</v>
      </c>
    </row>
    <row r="374" spans="1:5">
      <c r="A374">
        <v>0</v>
      </c>
      <c r="B374" s="64">
        <v>42069</v>
      </c>
      <c r="C374" t="s">
        <v>8</v>
      </c>
      <c r="D374">
        <v>10315</v>
      </c>
      <c r="E374">
        <v>8296330</v>
      </c>
    </row>
    <row r="375" spans="1:5">
      <c r="A375">
        <v>0</v>
      </c>
      <c r="B375" s="64">
        <v>42073</v>
      </c>
      <c r="C375" t="s">
        <v>8</v>
      </c>
      <c r="D375">
        <v>10315</v>
      </c>
      <c r="E375">
        <v>10069425</v>
      </c>
    </row>
    <row r="376" spans="1:5">
      <c r="A376">
        <v>0</v>
      </c>
      <c r="B376" s="64">
        <v>42077</v>
      </c>
      <c r="C376" t="s">
        <v>22</v>
      </c>
      <c r="D376">
        <v>10315</v>
      </c>
      <c r="E376">
        <v>16343837</v>
      </c>
    </row>
    <row r="377" spans="1:5">
      <c r="A377">
        <v>0</v>
      </c>
      <c r="B377" s="64">
        <v>42081</v>
      </c>
      <c r="C377" t="s">
        <v>22</v>
      </c>
      <c r="D377">
        <v>10315</v>
      </c>
      <c r="E377">
        <v>9077380</v>
      </c>
    </row>
    <row r="378" spans="1:5">
      <c r="A378">
        <v>0</v>
      </c>
      <c r="B378" s="64">
        <v>42085</v>
      </c>
      <c r="C378" t="s">
        <v>22</v>
      </c>
      <c r="D378">
        <v>10315</v>
      </c>
      <c r="E378">
        <v>15019092</v>
      </c>
    </row>
    <row r="379" spans="1:5">
      <c r="A379">
        <v>0</v>
      </c>
      <c r="B379" s="64">
        <v>42089</v>
      </c>
      <c r="C379" t="s">
        <v>22</v>
      </c>
      <c r="D379">
        <v>10315</v>
      </c>
      <c r="E379">
        <v>7295387</v>
      </c>
    </row>
    <row r="380" spans="1:5">
      <c r="A380">
        <v>0</v>
      </c>
      <c r="B380" s="64">
        <v>42093</v>
      </c>
      <c r="C380" t="s">
        <v>945</v>
      </c>
      <c r="D380">
        <v>10315</v>
      </c>
      <c r="E380">
        <v>22876557</v>
      </c>
    </row>
    <row r="381" spans="1:5">
      <c r="A381">
        <v>0</v>
      </c>
      <c r="B381" s="64">
        <v>42093</v>
      </c>
      <c r="C381" t="s">
        <v>945</v>
      </c>
      <c r="D381">
        <v>10415</v>
      </c>
      <c r="E381">
        <v>22876557</v>
      </c>
    </row>
    <row r="382" spans="1:5">
      <c r="A382">
        <v>0</v>
      </c>
      <c r="B382" s="64">
        <v>42097</v>
      </c>
      <c r="C382" t="s">
        <v>941</v>
      </c>
      <c r="D382">
        <v>10415</v>
      </c>
      <c r="E382">
        <v>13456343</v>
      </c>
    </row>
    <row r="383" spans="1:5">
      <c r="A383">
        <v>0</v>
      </c>
      <c r="B383" s="64">
        <v>42101</v>
      </c>
      <c r="C383" t="s">
        <v>22</v>
      </c>
      <c r="D383">
        <v>10415</v>
      </c>
      <c r="E383">
        <v>8994738</v>
      </c>
    </row>
    <row r="384" spans="1:5">
      <c r="A384">
        <v>0</v>
      </c>
      <c r="B384" s="64">
        <v>42105</v>
      </c>
      <c r="C384" t="s">
        <v>8</v>
      </c>
      <c r="D384">
        <v>10415</v>
      </c>
      <c r="E384">
        <v>16019589</v>
      </c>
    </row>
    <row r="385" spans="1:5">
      <c r="A385">
        <v>0</v>
      </c>
      <c r="B385" s="64">
        <v>42109</v>
      </c>
      <c r="C385" t="s">
        <v>8</v>
      </c>
      <c r="D385">
        <v>10415</v>
      </c>
      <c r="E385">
        <v>13653592</v>
      </c>
    </row>
    <row r="386" spans="1:5">
      <c r="A386">
        <v>0</v>
      </c>
      <c r="B386" s="64">
        <v>42113</v>
      </c>
      <c r="C386" t="s">
        <v>8</v>
      </c>
      <c r="D386">
        <v>10415</v>
      </c>
      <c r="E386">
        <v>7360237</v>
      </c>
    </row>
    <row r="387" spans="1:5">
      <c r="A387">
        <v>0</v>
      </c>
      <c r="B387" s="64">
        <v>42117</v>
      </c>
      <c r="C387" t="s">
        <v>8</v>
      </c>
      <c r="D387">
        <v>10415</v>
      </c>
      <c r="E387">
        <v>19376918</v>
      </c>
    </row>
    <row r="388" spans="1:5">
      <c r="A388">
        <v>0</v>
      </c>
      <c r="B388" s="64">
        <v>42121</v>
      </c>
      <c r="C388" t="s">
        <v>8</v>
      </c>
      <c r="D388">
        <v>10415</v>
      </c>
      <c r="E388">
        <v>17640182</v>
      </c>
    </row>
    <row r="389" spans="1:5">
      <c r="A389">
        <v>0</v>
      </c>
      <c r="B389" s="64">
        <v>42005</v>
      </c>
      <c r="C389" t="s">
        <v>8</v>
      </c>
      <c r="D389">
        <v>10115</v>
      </c>
      <c r="E389">
        <v>13042605</v>
      </c>
    </row>
    <row r="390" spans="1:5">
      <c r="A390">
        <v>0</v>
      </c>
      <c r="B390" s="64">
        <v>42009</v>
      </c>
      <c r="C390" t="s">
        <v>8</v>
      </c>
      <c r="D390">
        <v>10115</v>
      </c>
      <c r="E390">
        <v>19667360</v>
      </c>
    </row>
    <row r="391" spans="1:5">
      <c r="A391">
        <v>0</v>
      </c>
      <c r="B391" s="64">
        <v>42013</v>
      </c>
      <c r="C391" t="s">
        <v>8</v>
      </c>
      <c r="D391">
        <v>10115</v>
      </c>
      <c r="E391">
        <v>11492353</v>
      </c>
    </row>
    <row r="392" spans="1:5">
      <c r="A392">
        <v>0</v>
      </c>
      <c r="B392" s="64">
        <v>42017</v>
      </c>
      <c r="C392" t="s">
        <v>8</v>
      </c>
      <c r="D392">
        <v>10115</v>
      </c>
      <c r="E392">
        <v>15533503</v>
      </c>
    </row>
    <row r="393" spans="1:5">
      <c r="A393">
        <v>0</v>
      </c>
      <c r="B393" s="64">
        <v>42021</v>
      </c>
      <c r="C393" t="s">
        <v>8</v>
      </c>
      <c r="D393">
        <v>10115</v>
      </c>
      <c r="E393">
        <v>10064702</v>
      </c>
    </row>
    <row r="394" spans="1:5">
      <c r="A394">
        <v>0</v>
      </c>
      <c r="B394" s="64">
        <v>42025</v>
      </c>
      <c r="C394" t="s">
        <v>941</v>
      </c>
      <c r="D394">
        <v>10115</v>
      </c>
      <c r="E394">
        <v>5747321</v>
      </c>
    </row>
    <row r="395" spans="1:5">
      <c r="A395">
        <v>0</v>
      </c>
      <c r="B395" s="64">
        <v>42029</v>
      </c>
      <c r="C395" t="s">
        <v>8</v>
      </c>
      <c r="D395">
        <v>10115</v>
      </c>
      <c r="E395">
        <v>16488131</v>
      </c>
    </row>
    <row r="396" spans="1:5">
      <c r="A396">
        <v>0</v>
      </c>
      <c r="B396" s="64">
        <v>42033</v>
      </c>
      <c r="C396" t="s">
        <v>8</v>
      </c>
      <c r="D396">
        <v>10215</v>
      </c>
      <c r="E396">
        <v>20262534</v>
      </c>
    </row>
    <row r="397" spans="1:5">
      <c r="A397">
        <v>0</v>
      </c>
      <c r="B397" s="64">
        <v>42037</v>
      </c>
      <c r="C397" t="s">
        <v>8</v>
      </c>
      <c r="D397">
        <v>10215</v>
      </c>
      <c r="E397">
        <v>14511187</v>
      </c>
    </row>
    <row r="398" spans="1:5">
      <c r="A398">
        <v>0</v>
      </c>
      <c r="B398" s="64">
        <v>42041</v>
      </c>
      <c r="C398" t="s">
        <v>8</v>
      </c>
      <c r="D398">
        <v>10215</v>
      </c>
      <c r="E398">
        <v>20404416</v>
      </c>
    </row>
    <row r="399" spans="1:5">
      <c r="A399">
        <v>0</v>
      </c>
      <c r="B399" s="64">
        <v>42045</v>
      </c>
      <c r="C399" t="s">
        <v>8</v>
      </c>
      <c r="D399">
        <v>10215</v>
      </c>
      <c r="E399">
        <v>21618478</v>
      </c>
    </row>
    <row r="400" spans="1:5">
      <c r="A400">
        <v>0</v>
      </c>
      <c r="B400" s="64">
        <v>42049</v>
      </c>
      <c r="C400" t="s">
        <v>8</v>
      </c>
      <c r="D400">
        <v>10215</v>
      </c>
      <c r="E400">
        <v>5372174</v>
      </c>
    </row>
    <row r="401" spans="1:5">
      <c r="A401">
        <v>0</v>
      </c>
      <c r="B401" s="64">
        <v>42053</v>
      </c>
      <c r="C401" t="s">
        <v>22</v>
      </c>
      <c r="D401">
        <v>10215</v>
      </c>
      <c r="E401">
        <v>19913295</v>
      </c>
    </row>
    <row r="402" spans="1:5">
      <c r="A402">
        <v>0</v>
      </c>
      <c r="B402" s="64">
        <v>42057</v>
      </c>
      <c r="C402" t="s">
        <v>22</v>
      </c>
      <c r="D402">
        <v>10215</v>
      </c>
      <c r="E402">
        <v>13001233</v>
      </c>
    </row>
    <row r="403" spans="1:5">
      <c r="A403">
        <v>0</v>
      </c>
      <c r="B403" s="64">
        <v>42061</v>
      </c>
      <c r="C403" t="s">
        <v>22</v>
      </c>
      <c r="D403">
        <v>10215</v>
      </c>
      <c r="E403">
        <v>10608166</v>
      </c>
    </row>
    <row r="404" spans="1:5">
      <c r="A404">
        <v>0</v>
      </c>
      <c r="B404" s="64">
        <v>42061</v>
      </c>
      <c r="C404" t="s">
        <v>22</v>
      </c>
      <c r="D404">
        <v>10315</v>
      </c>
      <c r="E404">
        <v>10608166</v>
      </c>
    </row>
    <row r="405" spans="1:5">
      <c r="A405">
        <v>0</v>
      </c>
      <c r="B405" s="64">
        <v>42065</v>
      </c>
      <c r="C405" t="s">
        <v>22</v>
      </c>
      <c r="D405">
        <v>10315</v>
      </c>
      <c r="E405">
        <v>18766446</v>
      </c>
    </row>
    <row r="406" spans="1:5">
      <c r="A406">
        <v>0</v>
      </c>
      <c r="B406" s="64">
        <v>42069</v>
      </c>
      <c r="C406" t="s">
        <v>22</v>
      </c>
      <c r="D406">
        <v>10315</v>
      </c>
      <c r="E406">
        <v>6734660</v>
      </c>
    </row>
    <row r="407" spans="1:5">
      <c r="A407">
        <v>0</v>
      </c>
      <c r="B407" s="64">
        <v>42073</v>
      </c>
      <c r="C407" t="s">
        <v>22</v>
      </c>
      <c r="D407">
        <v>10315</v>
      </c>
      <c r="E407">
        <v>15371209</v>
      </c>
    </row>
    <row r="408" spans="1:5">
      <c r="A408">
        <v>0</v>
      </c>
      <c r="B408" s="64">
        <v>42077</v>
      </c>
      <c r="C408" t="s">
        <v>22</v>
      </c>
      <c r="D408">
        <v>10315</v>
      </c>
      <c r="E408">
        <v>7640580</v>
      </c>
    </row>
    <row r="409" spans="1:5">
      <c r="A409">
        <v>0</v>
      </c>
      <c r="B409" s="64">
        <v>42081</v>
      </c>
      <c r="C409" t="s">
        <v>22</v>
      </c>
      <c r="D409">
        <v>10315</v>
      </c>
      <c r="E409">
        <v>18505196</v>
      </c>
    </row>
    <row r="410" spans="1:5">
      <c r="A410">
        <v>0</v>
      </c>
      <c r="B410" s="64">
        <v>42085</v>
      </c>
      <c r="C410" t="s">
        <v>22</v>
      </c>
      <c r="D410">
        <v>10315</v>
      </c>
      <c r="E410">
        <v>9847149</v>
      </c>
    </row>
    <row r="411" spans="1:5">
      <c r="A411">
        <v>0</v>
      </c>
      <c r="B411" s="64">
        <v>42089</v>
      </c>
      <c r="C411" t="s">
        <v>22</v>
      </c>
      <c r="D411">
        <v>10315</v>
      </c>
      <c r="E411">
        <v>12468204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>
  <sheetPr codeName="Sheet5">
    <tabColor indexed="13"/>
  </sheetPr>
  <dimension ref="A1:O383"/>
  <sheetViews>
    <sheetView zoomScaleNormal="100" workbookViewId="0">
      <pane xSplit="4" ySplit="1" topLeftCell="E2" activePane="bottomRight" state="frozen"/>
      <selection activeCell="AX103" sqref="AX103"/>
      <selection pane="topRight" activeCell="AX103" sqref="AX103"/>
      <selection pane="bottomLeft" activeCell="AX103" sqref="AX103"/>
      <selection pane="bottomRight" activeCell="N2" sqref="N2:O7"/>
    </sheetView>
  </sheetViews>
  <sheetFormatPr defaultColWidth="11.42578125" defaultRowHeight="15"/>
  <cols>
    <col min="1" max="1" width="19.140625" style="60" bestFit="1" customWidth="1"/>
    <col min="2" max="2" width="14.140625" style="60" bestFit="1" customWidth="1"/>
    <col min="3" max="3" width="14.5703125" style="60" bestFit="1" customWidth="1"/>
    <col min="4" max="4" width="5.42578125" style="60" bestFit="1" customWidth="1"/>
    <col min="5" max="7" width="12.140625" style="1" bestFit="1" customWidth="1"/>
    <col min="8" max="8" width="12.140625" style="2" bestFit="1" customWidth="1"/>
    <col min="9" max="10" width="12.140625" style="1" bestFit="1" customWidth="1"/>
    <col min="11" max="11" width="11.85546875" style="1" bestFit="1" customWidth="1"/>
    <col min="12" max="12" width="12.140625" style="1" bestFit="1" customWidth="1"/>
    <col min="13" max="13" width="11.42578125" style="65"/>
  </cols>
  <sheetData>
    <row r="1" spans="1:15">
      <c r="A1" s="3" t="s">
        <v>938</v>
      </c>
      <c r="B1" s="3" t="s">
        <v>953</v>
      </c>
      <c r="C1" s="4" t="s">
        <v>970</v>
      </c>
      <c r="D1" s="5" t="s">
        <v>954</v>
      </c>
      <c r="E1" s="5" t="s">
        <v>955</v>
      </c>
      <c r="F1" s="7" t="s">
        <v>956</v>
      </c>
      <c r="G1" s="5" t="s">
        <v>957</v>
      </c>
      <c r="H1" s="8" t="s">
        <v>958</v>
      </c>
      <c r="I1" s="8" t="s">
        <v>959</v>
      </c>
      <c r="J1" s="8" t="s">
        <v>960</v>
      </c>
      <c r="K1" s="8" t="s">
        <v>961</v>
      </c>
      <c r="L1" s="8" t="s">
        <v>962</v>
      </c>
      <c r="M1" s="67" t="s">
        <v>973</v>
      </c>
      <c r="N1" s="66" t="s">
        <v>975</v>
      </c>
      <c r="O1" s="66" t="s">
        <v>976</v>
      </c>
    </row>
    <row r="2" spans="1:15">
      <c r="A2" s="10" t="s">
        <v>11</v>
      </c>
      <c r="B2" s="11" t="str">
        <f>VLOOKUP(A2,[1]Scrap!$A$3:$E$4580,3,FALSE)</f>
        <v>80100202AF1</v>
      </c>
      <c r="C2" s="12" t="s">
        <v>561</v>
      </c>
      <c r="D2" s="11" t="s">
        <v>401</v>
      </c>
      <c r="E2" s="14">
        <v>0.26200000000000001</v>
      </c>
      <c r="F2" s="14">
        <v>0.26200000000000001</v>
      </c>
      <c r="G2" s="14">
        <v>0.26200000000000001</v>
      </c>
      <c r="H2" s="17">
        <f t="shared" ref="H2:H65" si="0">IFERROR(INDEX($K$2:$L$116,MATCH($A2,$K$2:$K$116,0),2),G2)</f>
        <v>0.26200000000000001</v>
      </c>
      <c r="I2" s="15">
        <f t="shared" ref="I2:I65" si="1">H2-G2</f>
        <v>0</v>
      </c>
      <c r="J2" s="16">
        <f t="shared" ref="J2:J65" si="2">IF(G2&lt;&gt;0,I2/G2,)</f>
        <v>0</v>
      </c>
      <c r="K2" s="18" t="s">
        <v>211</v>
      </c>
      <c r="L2" s="19">
        <v>0.28752499999999998</v>
      </c>
      <c r="M2" s="65">
        <v>42005</v>
      </c>
      <c r="N2">
        <v>11334895</v>
      </c>
      <c r="O2">
        <v>245647</v>
      </c>
    </row>
    <row r="3" spans="1:15">
      <c r="A3" s="10" t="s">
        <v>562</v>
      </c>
      <c r="B3" s="11" t="s">
        <v>563</v>
      </c>
      <c r="C3" s="12" t="s">
        <v>564</v>
      </c>
      <c r="D3" s="11" t="s">
        <v>401</v>
      </c>
      <c r="E3" s="20"/>
      <c r="F3" s="20"/>
      <c r="G3" s="20">
        <v>2.5105</v>
      </c>
      <c r="H3" s="17">
        <f t="shared" si="0"/>
        <v>0.12556500000000001</v>
      </c>
      <c r="I3" s="15">
        <f t="shared" si="1"/>
        <v>-2.384935</v>
      </c>
      <c r="J3" s="16">
        <f t="shared" si="2"/>
        <v>-0.94998406691894044</v>
      </c>
      <c r="K3" s="6"/>
      <c r="L3" s="6"/>
      <c r="M3" s="65">
        <v>42009</v>
      </c>
      <c r="N3">
        <v>4788318</v>
      </c>
      <c r="O3">
        <v>4088618</v>
      </c>
    </row>
    <row r="4" spans="1:15">
      <c r="A4" s="21" t="s">
        <v>17</v>
      </c>
      <c r="B4" s="11" t="str">
        <f>VLOOKUP(A4,[1]Scrap!$A$3:$E$4580,3,FALSE)</f>
        <v>80100601CF1</v>
      </c>
      <c r="C4" s="12" t="s">
        <v>565</v>
      </c>
      <c r="D4" s="11" t="s">
        <v>401</v>
      </c>
      <c r="E4" s="14">
        <v>0.22069839499999999</v>
      </c>
      <c r="F4" s="14">
        <v>0.22069839499999999</v>
      </c>
      <c r="G4" s="14">
        <v>0.22069839499999999</v>
      </c>
      <c r="H4" s="17">
        <f t="shared" si="0"/>
        <v>0.22069839499999999</v>
      </c>
      <c r="I4" s="15">
        <f t="shared" si="1"/>
        <v>0</v>
      </c>
      <c r="J4" s="16">
        <f t="shared" si="2"/>
        <v>0</v>
      </c>
      <c r="K4" s="18" t="s">
        <v>217</v>
      </c>
      <c r="L4" s="19">
        <v>0.44000357142857138</v>
      </c>
      <c r="M4" s="65">
        <v>42013</v>
      </c>
      <c r="N4">
        <v>10055168</v>
      </c>
      <c r="O4">
        <v>2655505</v>
      </c>
    </row>
    <row r="5" spans="1:15">
      <c r="A5" s="10" t="s">
        <v>566</v>
      </c>
      <c r="B5" s="11" t="s">
        <v>567</v>
      </c>
      <c r="C5" s="12" t="s">
        <v>568</v>
      </c>
      <c r="D5" s="11" t="s">
        <v>401</v>
      </c>
      <c r="E5" s="20"/>
      <c r="F5" s="20"/>
      <c r="G5" s="20">
        <v>1.5105</v>
      </c>
      <c r="H5" s="17">
        <f t="shared" si="0"/>
        <v>1.5105</v>
      </c>
      <c r="I5" s="15">
        <f t="shared" si="1"/>
        <v>0</v>
      </c>
      <c r="J5" s="16">
        <f t="shared" si="2"/>
        <v>0</v>
      </c>
      <c r="K5" s="6"/>
      <c r="L5" s="6"/>
      <c r="M5" s="65">
        <v>42017</v>
      </c>
      <c r="N5">
        <v>3130894</v>
      </c>
      <c r="O5">
        <v>9803687</v>
      </c>
    </row>
    <row r="6" spans="1:15">
      <c r="A6" s="21" t="s">
        <v>21</v>
      </c>
      <c r="B6" s="11" t="str">
        <f>VLOOKUP(A6,[1]Scrap!$A$3:$E$4580,3,FALSE)</f>
        <v>80110802AF1</v>
      </c>
      <c r="C6" s="12" t="s">
        <v>569</v>
      </c>
      <c r="D6" s="11" t="s">
        <v>401</v>
      </c>
      <c r="E6" s="14">
        <v>0.82669031349999988</v>
      </c>
      <c r="F6" s="14">
        <v>0.82669031349999988</v>
      </c>
      <c r="G6" s="14">
        <v>0.82669031349999988</v>
      </c>
      <c r="H6" s="17">
        <f t="shared" si="0"/>
        <v>0.82669031349999988</v>
      </c>
      <c r="I6" s="15">
        <f t="shared" si="1"/>
        <v>0</v>
      </c>
      <c r="J6" s="16">
        <f t="shared" si="2"/>
        <v>0</v>
      </c>
      <c r="K6" s="18" t="s">
        <v>225</v>
      </c>
      <c r="L6" s="19">
        <v>0.59675909090909096</v>
      </c>
      <c r="M6" s="65">
        <v>42021</v>
      </c>
      <c r="N6">
        <v>848289</v>
      </c>
      <c r="O6">
        <v>12023185</v>
      </c>
    </row>
    <row r="7" spans="1:15">
      <c r="A7" s="10" t="s">
        <v>24</v>
      </c>
      <c r="B7" s="11" t="s">
        <v>402</v>
      </c>
      <c r="C7" s="12" t="s">
        <v>570</v>
      </c>
      <c r="D7" s="11" t="s">
        <v>401</v>
      </c>
      <c r="E7" s="14">
        <v>0.79415000000000002</v>
      </c>
      <c r="F7" s="14">
        <v>0.79415000000000002</v>
      </c>
      <c r="G7" s="14">
        <v>0.79415000000000002</v>
      </c>
      <c r="H7" s="17">
        <f t="shared" si="0"/>
        <v>0.79415000000000002</v>
      </c>
      <c r="I7" s="15">
        <f t="shared" si="1"/>
        <v>0</v>
      </c>
      <c r="J7" s="16">
        <f t="shared" si="2"/>
        <v>0</v>
      </c>
      <c r="K7" s="18" t="s">
        <v>228</v>
      </c>
      <c r="L7" s="19">
        <v>0.37891666666666662</v>
      </c>
      <c r="M7" s="65">
        <v>42025</v>
      </c>
      <c r="N7">
        <v>11927239</v>
      </c>
      <c r="O7">
        <v>10977878</v>
      </c>
    </row>
    <row r="8" spans="1:15">
      <c r="A8" s="10" t="s">
        <v>124</v>
      </c>
      <c r="B8" s="11" t="s">
        <v>449</v>
      </c>
      <c r="C8" s="12" t="s">
        <v>571</v>
      </c>
      <c r="D8" s="11" t="s">
        <v>401</v>
      </c>
      <c r="E8" s="14">
        <v>0.1182</v>
      </c>
      <c r="F8" s="14">
        <v>0</v>
      </c>
      <c r="G8" s="14">
        <v>0.16400000000000001</v>
      </c>
      <c r="H8" s="17">
        <f t="shared" si="0"/>
        <v>6.8837499999999996E-2</v>
      </c>
      <c r="I8" s="15">
        <f t="shared" si="1"/>
        <v>-9.5162500000000011E-2</v>
      </c>
      <c r="J8" s="16">
        <f t="shared" si="2"/>
        <v>-0.58025914634146347</v>
      </c>
      <c r="K8" s="18" t="s">
        <v>127</v>
      </c>
      <c r="L8" s="19">
        <v>0.10248500000000001</v>
      </c>
      <c r="M8" s="65">
        <v>42029</v>
      </c>
      <c r="N8">
        <v>2482266</v>
      </c>
      <c r="O8">
        <v>11595095</v>
      </c>
    </row>
    <row r="9" spans="1:15">
      <c r="A9" s="21" t="s">
        <v>28</v>
      </c>
      <c r="B9" s="11" t="str">
        <f>VLOOKUP(A9,[1]Scrap!$A$3:$E$4580,3,FALSE)</f>
        <v>80161602AF1</v>
      </c>
      <c r="C9" s="12" t="s">
        <v>572</v>
      </c>
      <c r="D9" s="11" t="s">
        <v>401</v>
      </c>
      <c r="E9" s="20">
        <v>0.47778749999999998</v>
      </c>
      <c r="F9" s="20">
        <v>0.47778749999999998</v>
      </c>
      <c r="G9" s="20">
        <v>0.47778749999999998</v>
      </c>
      <c r="H9" s="17">
        <f t="shared" si="0"/>
        <v>0.47778749999999998</v>
      </c>
      <c r="I9" s="15">
        <f t="shared" si="1"/>
        <v>0</v>
      </c>
      <c r="J9" s="16">
        <f t="shared" si="2"/>
        <v>0</v>
      </c>
      <c r="K9" s="18" t="s">
        <v>239</v>
      </c>
      <c r="L9" s="19">
        <v>0.44125000000000003</v>
      </c>
      <c r="M9" s="65">
        <v>42033</v>
      </c>
      <c r="N9">
        <v>5261956</v>
      </c>
      <c r="O9">
        <v>2954305</v>
      </c>
    </row>
    <row r="10" spans="1:15">
      <c r="A10" s="10" t="s">
        <v>29</v>
      </c>
      <c r="B10" s="11" t="s">
        <v>403</v>
      </c>
      <c r="C10" s="12" t="s">
        <v>573</v>
      </c>
      <c r="D10" s="11" t="s">
        <v>401</v>
      </c>
      <c r="E10" s="14">
        <v>0</v>
      </c>
      <c r="F10" s="14">
        <v>0.51</v>
      </c>
      <c r="G10" s="14">
        <v>0.51</v>
      </c>
      <c r="H10" s="17">
        <f t="shared" si="0"/>
        <v>0.51</v>
      </c>
      <c r="I10" s="15">
        <f t="shared" si="1"/>
        <v>0</v>
      </c>
      <c r="J10" s="16">
        <f t="shared" si="2"/>
        <v>0</v>
      </c>
      <c r="K10" s="18" t="s">
        <v>242</v>
      </c>
      <c r="L10" s="19">
        <v>0.4144166666666666</v>
      </c>
      <c r="M10" s="65">
        <v>42037</v>
      </c>
      <c r="N10">
        <v>1202549</v>
      </c>
      <c r="O10">
        <v>4266345</v>
      </c>
    </row>
    <row r="11" spans="1:15">
      <c r="A11" s="10" t="s">
        <v>30</v>
      </c>
      <c r="B11" s="11" t="s">
        <v>404</v>
      </c>
      <c r="C11" s="12" t="s">
        <v>574</v>
      </c>
      <c r="D11" s="11" t="s">
        <v>401</v>
      </c>
      <c r="E11" s="20">
        <v>0.16</v>
      </c>
      <c r="F11" s="20">
        <v>0.16</v>
      </c>
      <c r="G11" s="20">
        <v>0.16</v>
      </c>
      <c r="H11" s="17">
        <f t="shared" si="0"/>
        <v>0.16</v>
      </c>
      <c r="I11" s="15">
        <f t="shared" si="1"/>
        <v>0</v>
      </c>
      <c r="J11" s="16">
        <f t="shared" si="2"/>
        <v>0</v>
      </c>
      <c r="K11" s="18" t="s">
        <v>244</v>
      </c>
      <c r="L11" s="19">
        <v>0.38445625000000005</v>
      </c>
      <c r="M11" s="65">
        <v>42041</v>
      </c>
      <c r="N11">
        <v>7574923</v>
      </c>
      <c r="O11">
        <v>1910587</v>
      </c>
    </row>
    <row r="12" spans="1:15">
      <c r="A12" s="10" t="s">
        <v>123</v>
      </c>
      <c r="B12" s="11" t="s">
        <v>448</v>
      </c>
      <c r="C12" s="12" t="s">
        <v>575</v>
      </c>
      <c r="D12" s="11" t="s">
        <v>401</v>
      </c>
      <c r="E12" s="14">
        <v>0.1182</v>
      </c>
      <c r="F12" s="14">
        <v>0.1182</v>
      </c>
      <c r="G12" s="14">
        <v>0.16400000000000001</v>
      </c>
      <c r="H12" s="17">
        <f t="shared" si="0"/>
        <v>6.9014655172413814E-2</v>
      </c>
      <c r="I12" s="15">
        <f t="shared" si="1"/>
        <v>-9.4985344827586193E-2</v>
      </c>
      <c r="J12" s="16">
        <f t="shared" si="2"/>
        <v>-0.57917893187552549</v>
      </c>
      <c r="K12" s="18" t="s">
        <v>124</v>
      </c>
      <c r="L12" s="19">
        <v>6.8837499999999996E-2</v>
      </c>
      <c r="M12" s="65">
        <v>42045</v>
      </c>
      <c r="N12">
        <v>675092</v>
      </c>
      <c r="O12">
        <v>923070</v>
      </c>
    </row>
    <row r="13" spans="1:15">
      <c r="A13" s="10" t="s">
        <v>34</v>
      </c>
      <c r="B13" s="11" t="s">
        <v>406</v>
      </c>
      <c r="C13" s="12" t="s">
        <v>576</v>
      </c>
      <c r="D13" s="11" t="s">
        <v>71</v>
      </c>
      <c r="E13" s="14">
        <v>0.4773</v>
      </c>
      <c r="F13" s="14">
        <v>0</v>
      </c>
      <c r="G13" s="14">
        <v>0.252</v>
      </c>
      <c r="H13" s="17">
        <f t="shared" si="0"/>
        <v>0.252</v>
      </c>
      <c r="I13" s="15">
        <f t="shared" si="1"/>
        <v>0</v>
      </c>
      <c r="J13" s="16">
        <f t="shared" si="2"/>
        <v>0</v>
      </c>
      <c r="K13" s="18" t="s">
        <v>15</v>
      </c>
      <c r="L13" s="19">
        <v>0.2560260416666667</v>
      </c>
      <c r="M13" s="65">
        <v>42049</v>
      </c>
      <c r="N13">
        <v>5888051</v>
      </c>
      <c r="O13">
        <v>8366374</v>
      </c>
    </row>
    <row r="14" spans="1:15">
      <c r="A14" s="10" t="s">
        <v>36</v>
      </c>
      <c r="B14" s="11" t="s">
        <v>407</v>
      </c>
      <c r="C14" s="12" t="s">
        <v>577</v>
      </c>
      <c r="D14" s="11" t="s">
        <v>71</v>
      </c>
      <c r="E14" s="14">
        <v>0</v>
      </c>
      <c r="F14" s="14">
        <v>0</v>
      </c>
      <c r="G14" s="14">
        <v>0.47</v>
      </c>
      <c r="H14" s="17">
        <f t="shared" si="0"/>
        <v>0.47</v>
      </c>
      <c r="I14" s="15">
        <f t="shared" si="1"/>
        <v>0</v>
      </c>
      <c r="J14" s="16">
        <f t="shared" si="2"/>
        <v>0</v>
      </c>
      <c r="K14" s="18" t="s">
        <v>20</v>
      </c>
      <c r="L14" s="19">
        <v>0.69623437499999985</v>
      </c>
      <c r="M14" s="65">
        <v>42053</v>
      </c>
      <c r="N14">
        <v>9190766</v>
      </c>
      <c r="O14">
        <v>7910839</v>
      </c>
    </row>
    <row r="15" spans="1:15">
      <c r="A15" s="10" t="s">
        <v>37</v>
      </c>
      <c r="B15" s="11" t="s">
        <v>408</v>
      </c>
      <c r="C15" s="12" t="s">
        <v>578</v>
      </c>
      <c r="D15" s="11" t="s">
        <v>71</v>
      </c>
      <c r="E15" s="14">
        <v>0</v>
      </c>
      <c r="F15" s="14">
        <v>0</v>
      </c>
      <c r="G15" s="14">
        <v>0.22500000000000001</v>
      </c>
      <c r="H15" s="17">
        <f t="shared" si="0"/>
        <v>0.22500000000000001</v>
      </c>
      <c r="I15" s="15">
        <f t="shared" si="1"/>
        <v>0</v>
      </c>
      <c r="J15" s="16">
        <f t="shared" si="2"/>
        <v>0</v>
      </c>
      <c r="K15" s="18" t="s">
        <v>25</v>
      </c>
      <c r="L15" s="19">
        <v>0.70374999999999999</v>
      </c>
      <c r="M15" s="65">
        <v>42057</v>
      </c>
      <c r="N15">
        <v>4003030</v>
      </c>
      <c r="O15">
        <v>5401230</v>
      </c>
    </row>
    <row r="16" spans="1:15">
      <c r="A16" s="22" t="s">
        <v>38</v>
      </c>
      <c r="B16" s="23" t="s">
        <v>409</v>
      </c>
      <c r="C16" s="24" t="s">
        <v>579</v>
      </c>
      <c r="D16" s="23" t="s">
        <v>71</v>
      </c>
      <c r="E16" s="26">
        <v>0</v>
      </c>
      <c r="F16" s="26">
        <v>0</v>
      </c>
      <c r="G16" s="14">
        <v>0</v>
      </c>
      <c r="H16" s="17">
        <f t="shared" si="0"/>
        <v>0</v>
      </c>
      <c r="I16" s="15">
        <f t="shared" si="1"/>
        <v>0</v>
      </c>
      <c r="J16" s="16">
        <f t="shared" si="2"/>
        <v>0</v>
      </c>
      <c r="K16" s="18" t="s">
        <v>246</v>
      </c>
      <c r="L16" s="19">
        <v>0.19616650000000002</v>
      </c>
      <c r="M16" s="65">
        <v>42061</v>
      </c>
      <c r="N16">
        <v>220926</v>
      </c>
      <c r="O16">
        <v>10244213</v>
      </c>
    </row>
    <row r="17" spans="1:15">
      <c r="A17" s="10" t="s">
        <v>40</v>
      </c>
      <c r="B17" s="11" t="s">
        <v>410</v>
      </c>
      <c r="C17" s="12" t="s">
        <v>580</v>
      </c>
      <c r="D17" s="11" t="s">
        <v>71</v>
      </c>
      <c r="E17" s="14">
        <v>0</v>
      </c>
      <c r="F17" s="14">
        <v>0</v>
      </c>
      <c r="G17" s="14">
        <v>0</v>
      </c>
      <c r="H17" s="17">
        <f t="shared" si="0"/>
        <v>0.21712500000000001</v>
      </c>
      <c r="I17" s="15">
        <f t="shared" si="1"/>
        <v>0.21712500000000001</v>
      </c>
      <c r="J17" s="16">
        <f t="shared" si="2"/>
        <v>0</v>
      </c>
      <c r="K17" s="18" t="s">
        <v>247</v>
      </c>
      <c r="L17" s="19">
        <v>0.20518300000000003</v>
      </c>
      <c r="M17" s="65">
        <v>42065</v>
      </c>
      <c r="N17">
        <v>346136</v>
      </c>
      <c r="O17">
        <v>11723374</v>
      </c>
    </row>
    <row r="18" spans="1:15">
      <c r="A18" s="22" t="s">
        <v>41</v>
      </c>
      <c r="B18" s="23" t="s">
        <v>411</v>
      </c>
      <c r="C18" s="24" t="s">
        <v>581</v>
      </c>
      <c r="D18" s="23" t="s">
        <v>71</v>
      </c>
      <c r="E18" s="26">
        <v>0</v>
      </c>
      <c r="F18" s="26">
        <v>0</v>
      </c>
      <c r="G18" s="14">
        <v>0</v>
      </c>
      <c r="H18" s="17">
        <f t="shared" si="0"/>
        <v>0.50049999999999994</v>
      </c>
      <c r="I18" s="15">
        <f t="shared" si="1"/>
        <v>0.50049999999999994</v>
      </c>
      <c r="J18" s="16">
        <f t="shared" si="2"/>
        <v>0</v>
      </c>
      <c r="K18" s="18" t="s">
        <v>251</v>
      </c>
      <c r="L18" s="19">
        <v>0.19569907407407405</v>
      </c>
      <c r="M18" s="65">
        <v>42069</v>
      </c>
      <c r="N18">
        <v>11803169</v>
      </c>
      <c r="O18">
        <v>7142367</v>
      </c>
    </row>
    <row r="19" spans="1:15">
      <c r="A19" s="22" t="s">
        <v>42</v>
      </c>
      <c r="B19" s="23" t="s">
        <v>412</v>
      </c>
      <c r="C19" s="24" t="s">
        <v>582</v>
      </c>
      <c r="D19" s="23" t="s">
        <v>71</v>
      </c>
      <c r="E19" s="26">
        <v>0</v>
      </c>
      <c r="F19" s="26">
        <v>0</v>
      </c>
      <c r="G19" s="26">
        <v>0</v>
      </c>
      <c r="H19" s="17">
        <f t="shared" si="0"/>
        <v>0.37141666666666673</v>
      </c>
      <c r="I19" s="15">
        <f t="shared" si="1"/>
        <v>0.37141666666666673</v>
      </c>
      <c r="J19" s="16">
        <f t="shared" si="2"/>
        <v>0</v>
      </c>
      <c r="K19" s="18" t="s">
        <v>253</v>
      </c>
      <c r="L19" s="19">
        <v>0.56511538461538469</v>
      </c>
      <c r="M19" s="65">
        <v>42073</v>
      </c>
      <c r="N19">
        <v>156918</v>
      </c>
      <c r="O19">
        <v>6045490</v>
      </c>
    </row>
    <row r="20" spans="1:15">
      <c r="A20" s="10" t="s">
        <v>128</v>
      </c>
      <c r="B20" s="11" t="s">
        <v>450</v>
      </c>
      <c r="C20" s="12" t="s">
        <v>583</v>
      </c>
      <c r="D20" s="11" t="s">
        <v>401</v>
      </c>
      <c r="E20" s="14">
        <v>0.1023</v>
      </c>
      <c r="F20" s="14">
        <v>0.1023</v>
      </c>
      <c r="G20" s="14">
        <v>0.1023</v>
      </c>
      <c r="H20" s="17">
        <f t="shared" si="0"/>
        <v>5.0582500000000009E-2</v>
      </c>
      <c r="I20" s="15">
        <f t="shared" si="1"/>
        <v>-5.1717499999999993E-2</v>
      </c>
      <c r="J20" s="16">
        <f t="shared" si="2"/>
        <v>-0.50554740957966759</v>
      </c>
      <c r="K20" s="18" t="s">
        <v>136</v>
      </c>
      <c r="L20" s="19">
        <v>2.8531249999999998E-2</v>
      </c>
      <c r="M20" s="65">
        <v>42077</v>
      </c>
      <c r="N20">
        <v>46272</v>
      </c>
      <c r="O20">
        <v>7833110</v>
      </c>
    </row>
    <row r="21" spans="1:15">
      <c r="A21" s="10" t="s">
        <v>46</v>
      </c>
      <c r="B21" s="11" t="str">
        <f>VLOOKUP(A21,[1]Scrap!$A$3:$E$4580,3,FALSE)</f>
        <v>80250203BF1</v>
      </c>
      <c r="C21" s="12" t="s">
        <v>584</v>
      </c>
      <c r="D21" s="11" t="s">
        <v>401</v>
      </c>
      <c r="E21" s="14">
        <v>0.60954157450000002</v>
      </c>
      <c r="F21" s="14">
        <v>0.60954157450000002</v>
      </c>
      <c r="G21" s="14">
        <v>0.60954157450000002</v>
      </c>
      <c r="H21" s="17">
        <f t="shared" si="0"/>
        <v>0.60954157450000002</v>
      </c>
      <c r="I21" s="15">
        <f t="shared" si="1"/>
        <v>0</v>
      </c>
      <c r="J21" s="16">
        <f t="shared" si="2"/>
        <v>0</v>
      </c>
      <c r="K21" s="18" t="s">
        <v>255</v>
      </c>
      <c r="L21" s="19">
        <v>0.56208333333333338</v>
      </c>
      <c r="M21" s="65">
        <v>42081</v>
      </c>
      <c r="N21">
        <v>105049</v>
      </c>
      <c r="O21">
        <v>9408786</v>
      </c>
    </row>
    <row r="22" spans="1:15">
      <c r="A22" s="10" t="s">
        <v>47</v>
      </c>
      <c r="B22" s="11" t="s">
        <v>414</v>
      </c>
      <c r="C22" s="12" t="s">
        <v>585</v>
      </c>
      <c r="D22" s="11" t="s">
        <v>71</v>
      </c>
      <c r="E22" s="14">
        <v>0</v>
      </c>
      <c r="F22" s="14">
        <v>0</v>
      </c>
      <c r="G22" s="14">
        <v>0.61</v>
      </c>
      <c r="H22" s="17">
        <f t="shared" si="0"/>
        <v>0.61</v>
      </c>
      <c r="I22" s="15">
        <f t="shared" si="1"/>
        <v>0</v>
      </c>
      <c r="J22" s="16">
        <f t="shared" si="2"/>
        <v>0</v>
      </c>
      <c r="K22" s="18" t="s">
        <v>256</v>
      </c>
      <c r="L22" s="19">
        <v>0.13833382352941179</v>
      </c>
      <c r="M22" s="65">
        <v>42085</v>
      </c>
      <c r="N22">
        <v>6326554</v>
      </c>
      <c r="O22">
        <v>361807</v>
      </c>
    </row>
    <row r="23" spans="1:15">
      <c r="A23" s="10" t="s">
        <v>48</v>
      </c>
      <c r="B23" s="11" t="s">
        <v>415</v>
      </c>
      <c r="C23" s="12" t="s">
        <v>586</v>
      </c>
      <c r="D23" s="11" t="s">
        <v>71</v>
      </c>
      <c r="E23" s="14">
        <v>0</v>
      </c>
      <c r="F23" s="14">
        <v>0</v>
      </c>
      <c r="G23" s="14">
        <v>0.61</v>
      </c>
      <c r="H23" s="17">
        <f t="shared" si="0"/>
        <v>0.61</v>
      </c>
      <c r="I23" s="15">
        <f t="shared" si="1"/>
        <v>0</v>
      </c>
      <c r="J23" s="16">
        <f t="shared" si="2"/>
        <v>0</v>
      </c>
      <c r="K23" s="18" t="s">
        <v>261</v>
      </c>
      <c r="L23" s="19">
        <v>6.7560576923076932E-2</v>
      </c>
      <c r="M23" s="65">
        <v>42089</v>
      </c>
      <c r="N23">
        <v>10100416</v>
      </c>
      <c r="O23">
        <v>873480</v>
      </c>
    </row>
    <row r="24" spans="1:15">
      <c r="A24" s="10" t="s">
        <v>374</v>
      </c>
      <c r="B24" s="11" t="s">
        <v>549</v>
      </c>
      <c r="C24" s="12" t="s">
        <v>587</v>
      </c>
      <c r="D24" s="11" t="s">
        <v>401</v>
      </c>
      <c r="E24" s="14">
        <v>0.46389383499999998</v>
      </c>
      <c r="F24" s="14">
        <v>0.15</v>
      </c>
      <c r="G24" s="14">
        <v>0.15</v>
      </c>
      <c r="H24" s="17">
        <f t="shared" si="0"/>
        <v>7.5698749999999995E-2</v>
      </c>
      <c r="I24" s="15">
        <f t="shared" si="1"/>
        <v>-7.4301249999999999E-2</v>
      </c>
      <c r="J24" s="16">
        <f t="shared" si="2"/>
        <v>-0.49534166666666668</v>
      </c>
      <c r="K24" s="9"/>
      <c r="L24" s="9"/>
      <c r="M24" s="65">
        <v>42093</v>
      </c>
      <c r="N24">
        <v>8977003</v>
      </c>
      <c r="O24">
        <v>8097082</v>
      </c>
    </row>
    <row r="25" spans="1:15">
      <c r="A25" s="10" t="s">
        <v>50</v>
      </c>
      <c r="B25" s="11" t="s">
        <v>417</v>
      </c>
      <c r="C25" s="12" t="s">
        <v>588</v>
      </c>
      <c r="D25" s="11" t="s">
        <v>71</v>
      </c>
      <c r="E25" s="14">
        <v>0</v>
      </c>
      <c r="F25" s="14">
        <v>0</v>
      </c>
      <c r="G25" s="14">
        <v>0.48430000000000001</v>
      </c>
      <c r="H25" s="17">
        <f t="shared" si="0"/>
        <v>0.48430000000000001</v>
      </c>
      <c r="I25" s="15">
        <f t="shared" si="1"/>
        <v>0</v>
      </c>
      <c r="J25" s="16">
        <f t="shared" si="2"/>
        <v>0</v>
      </c>
      <c r="K25" s="18" t="s">
        <v>265</v>
      </c>
      <c r="L25" s="19">
        <v>0.1332642857142857</v>
      </c>
      <c r="M25" s="65">
        <v>42097</v>
      </c>
      <c r="N25">
        <v>5874342</v>
      </c>
      <c r="O25">
        <v>10482664</v>
      </c>
    </row>
    <row r="26" spans="1:15">
      <c r="A26" s="21" t="s">
        <v>51</v>
      </c>
      <c r="B26" s="11" t="str">
        <f>VLOOKUP(A26,[1]Scrap!$A$3:$E$4580,3,FALSE)</f>
        <v>80250301BF1</v>
      </c>
      <c r="C26" s="12" t="s">
        <v>589</v>
      </c>
      <c r="D26" s="11" t="s">
        <v>401</v>
      </c>
      <c r="E26" s="14">
        <v>0.27487500000000004</v>
      </c>
      <c r="F26" s="14">
        <v>0.27487500000000004</v>
      </c>
      <c r="G26" s="14">
        <v>0.27487500000000004</v>
      </c>
      <c r="H26" s="17">
        <f t="shared" si="0"/>
        <v>0.27487500000000004</v>
      </c>
      <c r="I26" s="15">
        <f t="shared" si="1"/>
        <v>0</v>
      </c>
      <c r="J26" s="16">
        <f t="shared" si="2"/>
        <v>0</v>
      </c>
      <c r="K26" s="18" t="s">
        <v>270</v>
      </c>
      <c r="L26" s="19">
        <v>4.0433333333333335E-2</v>
      </c>
      <c r="M26" s="65">
        <v>42101</v>
      </c>
      <c r="N26">
        <v>626715</v>
      </c>
      <c r="O26">
        <v>3392926</v>
      </c>
    </row>
    <row r="27" spans="1:15">
      <c r="A27" s="10" t="s">
        <v>52</v>
      </c>
      <c r="B27" s="11" t="str">
        <f>VLOOKUP(A27,[1]Scrap!$A$3:$E$4580,3,FALSE)</f>
        <v>80250301CF1</v>
      </c>
      <c r="C27" s="12" t="s">
        <v>590</v>
      </c>
      <c r="D27" s="11" t="s">
        <v>71</v>
      </c>
      <c r="E27" s="14">
        <v>0</v>
      </c>
      <c r="F27" s="14">
        <v>0</v>
      </c>
      <c r="G27" s="14">
        <v>0.159</v>
      </c>
      <c r="H27" s="17">
        <f t="shared" si="0"/>
        <v>0.159</v>
      </c>
      <c r="I27" s="15">
        <f t="shared" si="1"/>
        <v>0</v>
      </c>
      <c r="J27" s="16">
        <f t="shared" si="2"/>
        <v>0</v>
      </c>
      <c r="K27" s="18" t="s">
        <v>271</v>
      </c>
      <c r="L27" s="19">
        <v>0.12987499999999999</v>
      </c>
      <c r="M27" s="65">
        <v>42105</v>
      </c>
      <c r="N27">
        <v>3778624</v>
      </c>
      <c r="O27">
        <v>7153711</v>
      </c>
    </row>
    <row r="28" spans="1:15">
      <c r="A28" s="10" t="s">
        <v>122</v>
      </c>
      <c r="B28" s="11" t="s">
        <v>447</v>
      </c>
      <c r="C28" s="12" t="s">
        <v>591</v>
      </c>
      <c r="D28" s="11" t="s">
        <v>401</v>
      </c>
      <c r="E28" s="14">
        <v>0.1182</v>
      </c>
      <c r="F28" s="14">
        <v>0.219</v>
      </c>
      <c r="G28" s="14">
        <v>0.17480000000000001</v>
      </c>
      <c r="H28" s="17">
        <f t="shared" si="0"/>
        <v>0.10009166666666666</v>
      </c>
      <c r="I28" s="15">
        <f t="shared" si="1"/>
        <v>-7.4708333333333349E-2</v>
      </c>
      <c r="J28" s="16">
        <f t="shared" si="2"/>
        <v>-0.42739321128909236</v>
      </c>
      <c r="K28" s="18" t="s">
        <v>123</v>
      </c>
      <c r="L28" s="19">
        <v>6.9014655172413814E-2</v>
      </c>
      <c r="M28" s="65">
        <v>42109</v>
      </c>
      <c r="N28">
        <v>7428669</v>
      </c>
      <c r="O28">
        <v>845891</v>
      </c>
    </row>
    <row r="29" spans="1:15">
      <c r="A29" s="10" t="s">
        <v>378</v>
      </c>
      <c r="B29" s="11" t="s">
        <v>551</v>
      </c>
      <c r="C29" s="12" t="s">
        <v>592</v>
      </c>
      <c r="D29" s="11" t="s">
        <v>401</v>
      </c>
      <c r="E29" s="14">
        <v>0.25869999999999999</v>
      </c>
      <c r="F29" s="14">
        <v>0.25869999999999999</v>
      </c>
      <c r="G29" s="14">
        <v>0.25869999999999999</v>
      </c>
      <c r="H29" s="17">
        <f t="shared" si="0"/>
        <v>0.1555</v>
      </c>
      <c r="I29" s="15">
        <f t="shared" si="1"/>
        <v>-0.10319999999999999</v>
      </c>
      <c r="J29" s="16">
        <f t="shared" si="2"/>
        <v>-0.39891766524932348</v>
      </c>
      <c r="K29" s="6"/>
      <c r="L29" s="6"/>
      <c r="M29" s="65">
        <v>42113</v>
      </c>
      <c r="N29">
        <v>10101343</v>
      </c>
      <c r="O29">
        <v>8759667</v>
      </c>
    </row>
    <row r="30" spans="1:15">
      <c r="A30" s="21" t="s">
        <v>55</v>
      </c>
      <c r="B30" s="11" t="str">
        <f>VLOOKUP(A30,[1]Scrap!$A$3:$E$4580,3,FALSE)</f>
        <v>80250501AF1</v>
      </c>
      <c r="C30" s="12" t="s">
        <v>593</v>
      </c>
      <c r="D30" s="11" t="s">
        <v>401</v>
      </c>
      <c r="E30" s="14">
        <v>0.32339272999999996</v>
      </c>
      <c r="F30" s="14">
        <v>0.32339272999999996</v>
      </c>
      <c r="G30" s="14">
        <v>0.32339272999999996</v>
      </c>
      <c r="H30" s="17">
        <f t="shared" si="0"/>
        <v>0.32339272999999996</v>
      </c>
      <c r="I30" s="15">
        <f t="shared" si="1"/>
        <v>0</v>
      </c>
      <c r="J30" s="16">
        <f t="shared" si="2"/>
        <v>0</v>
      </c>
      <c r="K30" s="18" t="s">
        <v>278</v>
      </c>
      <c r="L30" s="19">
        <v>0.1012875</v>
      </c>
      <c r="M30" s="65">
        <v>42117</v>
      </c>
      <c r="N30">
        <v>253466</v>
      </c>
      <c r="O30">
        <v>4100208</v>
      </c>
    </row>
    <row r="31" spans="1:15">
      <c r="A31" s="21" t="s">
        <v>56</v>
      </c>
      <c r="B31" s="11" t="str">
        <f>VLOOKUP(A31,[1]Scrap!$A$3:$E$4580,3,FALSE)</f>
        <v>80250502AF1</v>
      </c>
      <c r="C31" s="12" t="s">
        <v>594</v>
      </c>
      <c r="D31" s="11" t="s">
        <v>401</v>
      </c>
      <c r="E31" s="14">
        <v>0.27</v>
      </c>
      <c r="F31" s="14">
        <v>0.27</v>
      </c>
      <c r="G31" s="14">
        <v>0.27</v>
      </c>
      <c r="H31" s="17">
        <f t="shared" si="0"/>
        <v>0.27</v>
      </c>
      <c r="I31" s="15">
        <f t="shared" si="1"/>
        <v>0</v>
      </c>
      <c r="J31" s="16">
        <f t="shared" si="2"/>
        <v>0</v>
      </c>
      <c r="K31" s="18" t="s">
        <v>281</v>
      </c>
      <c r="L31" s="19">
        <v>4.9481250000000004E-2</v>
      </c>
      <c r="M31" s="65">
        <v>42121</v>
      </c>
      <c r="N31">
        <v>7606248</v>
      </c>
      <c r="O31">
        <v>1708896</v>
      </c>
    </row>
    <row r="32" spans="1:15">
      <c r="A32" s="10" t="s">
        <v>57</v>
      </c>
      <c r="B32" s="11" t="s">
        <v>420</v>
      </c>
      <c r="C32" s="12" t="s">
        <v>595</v>
      </c>
      <c r="D32" s="11" t="s">
        <v>71</v>
      </c>
      <c r="E32" s="14">
        <v>0</v>
      </c>
      <c r="F32" s="14">
        <v>0</v>
      </c>
      <c r="G32" s="14">
        <v>0.317</v>
      </c>
      <c r="H32" s="17">
        <f t="shared" si="0"/>
        <v>0.317</v>
      </c>
      <c r="I32" s="15">
        <f t="shared" si="1"/>
        <v>0</v>
      </c>
      <c r="J32" s="16">
        <f t="shared" si="2"/>
        <v>0</v>
      </c>
      <c r="K32" s="18" t="s">
        <v>2</v>
      </c>
      <c r="L32" s="19">
        <v>8.3693055555555562E-2</v>
      </c>
      <c r="M32" s="65">
        <v>42005</v>
      </c>
      <c r="N32">
        <v>1724505</v>
      </c>
      <c r="O32">
        <v>96920</v>
      </c>
    </row>
    <row r="33" spans="1:15">
      <c r="A33" s="10" t="s">
        <v>58</v>
      </c>
      <c r="B33" s="11" t="s">
        <v>421</v>
      </c>
      <c r="C33" s="12" t="s">
        <v>596</v>
      </c>
      <c r="D33" s="11" t="s">
        <v>401</v>
      </c>
      <c r="E33" s="20">
        <v>0.31915000000000004</v>
      </c>
      <c r="F33" s="20">
        <v>0.31915000000000004</v>
      </c>
      <c r="G33" s="20">
        <v>0.31915000000000004</v>
      </c>
      <c r="H33" s="17">
        <f t="shared" si="0"/>
        <v>0.31915000000000004</v>
      </c>
      <c r="I33" s="15">
        <f t="shared" si="1"/>
        <v>0</v>
      </c>
      <c r="J33" s="16">
        <f t="shared" si="2"/>
        <v>0</v>
      </c>
      <c r="K33" s="18" t="s">
        <v>285</v>
      </c>
      <c r="L33" s="19">
        <v>8.7016176470588236E-2</v>
      </c>
      <c r="M33" s="65">
        <v>42009</v>
      </c>
      <c r="N33">
        <v>10668425</v>
      </c>
      <c r="O33">
        <v>4272223</v>
      </c>
    </row>
    <row r="34" spans="1:15">
      <c r="A34" s="21" t="s">
        <v>59</v>
      </c>
      <c r="B34" s="11" t="str">
        <f>VLOOKUP(A34,[1]Scrap!$A$3:$E$4580,3,FALSE)</f>
        <v>80261201BF1</v>
      </c>
      <c r="C34" s="12" t="s">
        <v>597</v>
      </c>
      <c r="D34" s="11" t="s">
        <v>401</v>
      </c>
      <c r="E34" s="14">
        <v>0.178601235</v>
      </c>
      <c r="F34" s="14">
        <v>0.178601235</v>
      </c>
      <c r="G34" s="14">
        <v>0.178601235</v>
      </c>
      <c r="H34" s="17">
        <f t="shared" si="0"/>
        <v>0.178601235</v>
      </c>
      <c r="I34" s="15">
        <f t="shared" si="1"/>
        <v>0</v>
      </c>
      <c r="J34" s="16">
        <f t="shared" si="2"/>
        <v>0</v>
      </c>
      <c r="K34" s="18" t="s">
        <v>287</v>
      </c>
      <c r="L34" s="19">
        <v>8.174910714285713E-2</v>
      </c>
      <c r="M34" s="65">
        <v>42013</v>
      </c>
      <c r="N34">
        <v>7567</v>
      </c>
      <c r="O34">
        <v>5403092</v>
      </c>
    </row>
    <row r="35" spans="1:15">
      <c r="A35" s="21" t="s">
        <v>60</v>
      </c>
      <c r="B35" s="11" t="str">
        <f>VLOOKUP(A35,[1]Scrap!$A$3:$E$4580,3,FALSE)</f>
        <v>80261801BF1</v>
      </c>
      <c r="C35" s="12" t="s">
        <v>598</v>
      </c>
      <c r="D35" s="11" t="s">
        <v>401</v>
      </c>
      <c r="E35" s="20">
        <v>0.11899999999999999</v>
      </c>
      <c r="F35" s="20">
        <v>0.11899999999999999</v>
      </c>
      <c r="G35" s="20">
        <v>0.11899999999999999</v>
      </c>
      <c r="H35" s="17">
        <f t="shared" si="0"/>
        <v>0.11899999999999999</v>
      </c>
      <c r="I35" s="15">
        <f t="shared" si="1"/>
        <v>0</v>
      </c>
      <c r="J35" s="16">
        <f t="shared" si="2"/>
        <v>0</v>
      </c>
      <c r="K35" s="18" t="s">
        <v>291</v>
      </c>
      <c r="L35" s="19">
        <v>4.6595374015748051E-2</v>
      </c>
      <c r="M35" s="65">
        <v>42017</v>
      </c>
      <c r="N35">
        <v>5922738</v>
      </c>
      <c r="O35">
        <v>6782989</v>
      </c>
    </row>
    <row r="36" spans="1:15">
      <c r="A36" s="21" t="s">
        <v>61</v>
      </c>
      <c r="B36" s="11" t="str">
        <f>VLOOKUP(A36,[1]Scrap!$A$3:$E$4580,3,FALSE)</f>
        <v>80262301AF1</v>
      </c>
      <c r="C36" s="12" t="s">
        <v>599</v>
      </c>
      <c r="D36" s="11" t="s">
        <v>401</v>
      </c>
      <c r="E36" s="14">
        <v>0.41530608499999999</v>
      </c>
      <c r="F36" s="14">
        <v>0.41530608499999999</v>
      </c>
      <c r="G36" s="14">
        <v>0.41530608499999999</v>
      </c>
      <c r="H36" s="17">
        <f t="shared" si="0"/>
        <v>0.41530608499999999</v>
      </c>
      <c r="I36" s="15">
        <f t="shared" si="1"/>
        <v>0</v>
      </c>
      <c r="J36" s="16">
        <f t="shared" si="2"/>
        <v>0</v>
      </c>
      <c r="K36" s="18" t="s">
        <v>292</v>
      </c>
      <c r="L36" s="19">
        <v>4.5760049019607826E-2</v>
      </c>
      <c r="M36" s="65">
        <v>42021</v>
      </c>
      <c r="N36">
        <v>4443989</v>
      </c>
      <c r="O36">
        <v>6207972</v>
      </c>
    </row>
    <row r="37" spans="1:15">
      <c r="A37" s="10" t="s">
        <v>62</v>
      </c>
      <c r="B37" s="11" t="s">
        <v>422</v>
      </c>
      <c r="C37" s="12" t="s">
        <v>600</v>
      </c>
      <c r="D37" s="11" t="s">
        <v>71</v>
      </c>
      <c r="E37" s="14">
        <v>0</v>
      </c>
      <c r="F37" s="14">
        <v>0</v>
      </c>
      <c r="G37" s="14">
        <v>0.44400000000000006</v>
      </c>
      <c r="H37" s="17">
        <f t="shared" si="0"/>
        <v>0.44400000000000006</v>
      </c>
      <c r="I37" s="15">
        <f t="shared" si="1"/>
        <v>0</v>
      </c>
      <c r="J37" s="16">
        <f t="shared" si="2"/>
        <v>0</v>
      </c>
      <c r="K37" s="18" t="s">
        <v>296</v>
      </c>
      <c r="L37" s="19">
        <v>2.4869086881355931E-2</v>
      </c>
      <c r="M37" s="65">
        <v>42025</v>
      </c>
      <c r="N37">
        <v>2858739</v>
      </c>
      <c r="O37">
        <v>121405</v>
      </c>
    </row>
    <row r="38" spans="1:15">
      <c r="A38" s="10" t="s">
        <v>63</v>
      </c>
      <c r="B38" s="11" t="s">
        <v>423</v>
      </c>
      <c r="C38" s="12" t="s">
        <v>601</v>
      </c>
      <c r="D38" s="11" t="s">
        <v>401</v>
      </c>
      <c r="E38" s="14">
        <v>0.46629999999999999</v>
      </c>
      <c r="F38" s="14">
        <v>0.46629999999999999</v>
      </c>
      <c r="G38" s="14">
        <v>0.46629999999999999</v>
      </c>
      <c r="H38" s="17">
        <f t="shared" si="0"/>
        <v>0.46629999999999999</v>
      </c>
      <c r="I38" s="15">
        <f t="shared" si="1"/>
        <v>0</v>
      </c>
      <c r="J38" s="16">
        <f t="shared" si="2"/>
        <v>0</v>
      </c>
      <c r="K38" s="18" t="s">
        <v>308</v>
      </c>
      <c r="L38" s="19">
        <v>2.389514375E-2</v>
      </c>
      <c r="M38" s="65">
        <v>42029</v>
      </c>
      <c r="N38">
        <v>4704330</v>
      </c>
      <c r="O38">
        <v>6950556</v>
      </c>
    </row>
    <row r="39" spans="1:15">
      <c r="A39" s="10" t="s">
        <v>64</v>
      </c>
      <c r="B39" s="11" t="s">
        <v>424</v>
      </c>
      <c r="C39" s="12" t="s">
        <v>602</v>
      </c>
      <c r="D39" s="11" t="s">
        <v>71</v>
      </c>
      <c r="E39" s="14">
        <v>0.46629999999999999</v>
      </c>
      <c r="F39" s="14">
        <v>0.46629999999999999</v>
      </c>
      <c r="G39" s="14">
        <v>0</v>
      </c>
      <c r="H39" s="17">
        <f t="shared" si="0"/>
        <v>0</v>
      </c>
      <c r="I39" s="15">
        <f t="shared" si="1"/>
        <v>0</v>
      </c>
      <c r="J39" s="16">
        <f t="shared" si="2"/>
        <v>0</v>
      </c>
      <c r="K39" s="18" t="s">
        <v>309</v>
      </c>
      <c r="L39" s="19">
        <v>2.3618750000000001E-2</v>
      </c>
      <c r="M39" s="65">
        <v>42033</v>
      </c>
      <c r="N39">
        <v>5519187</v>
      </c>
      <c r="O39">
        <v>1678048</v>
      </c>
    </row>
    <row r="40" spans="1:15">
      <c r="A40" s="21" t="s">
        <v>67</v>
      </c>
      <c r="B40" s="11" t="str">
        <f>VLOOKUP(A40,[1]Scrap!$A$3:$E$4580,3,FALSE)</f>
        <v>80301401AF1</v>
      </c>
      <c r="C40" s="12" t="s">
        <v>603</v>
      </c>
      <c r="D40" s="11" t="s">
        <v>401</v>
      </c>
      <c r="E40" s="14">
        <v>0.32669303</v>
      </c>
      <c r="F40" s="14">
        <v>0.32669303</v>
      </c>
      <c r="G40" s="14">
        <v>0.32669303</v>
      </c>
      <c r="H40" s="17">
        <f t="shared" si="0"/>
        <v>0.32669303</v>
      </c>
      <c r="I40" s="15">
        <f t="shared" si="1"/>
        <v>0</v>
      </c>
      <c r="J40" s="16">
        <f t="shared" si="2"/>
        <v>0</v>
      </c>
      <c r="K40" s="18" t="s">
        <v>310</v>
      </c>
      <c r="L40" s="19">
        <v>0.12968392857142857</v>
      </c>
      <c r="M40" s="65">
        <v>42037</v>
      </c>
      <c r="N40">
        <v>6654946</v>
      </c>
      <c r="O40">
        <v>4761432</v>
      </c>
    </row>
    <row r="41" spans="1:15">
      <c r="A41" s="21" t="s">
        <v>68</v>
      </c>
      <c r="B41" s="11" t="str">
        <f>VLOOKUP(A41,[1]Scrap!$A$3:$E$4580,3,FALSE)</f>
        <v>80301403AF1</v>
      </c>
      <c r="C41" s="12" t="s">
        <v>604</v>
      </c>
      <c r="D41" s="11" t="s">
        <v>401</v>
      </c>
      <c r="E41" s="14">
        <v>0.32738975999999997</v>
      </c>
      <c r="F41" s="14">
        <v>0.32738975999999997</v>
      </c>
      <c r="G41" s="14">
        <v>0.32738975999999997</v>
      </c>
      <c r="H41" s="17">
        <f t="shared" si="0"/>
        <v>0.32738975999999997</v>
      </c>
      <c r="I41" s="15">
        <f t="shared" si="1"/>
        <v>0</v>
      </c>
      <c r="J41" s="16">
        <f t="shared" si="2"/>
        <v>0</v>
      </c>
      <c r="K41" s="18" t="s">
        <v>324</v>
      </c>
      <c r="L41" s="19">
        <v>5.611337209302325E-2</v>
      </c>
      <c r="M41" s="65">
        <v>42041</v>
      </c>
      <c r="N41">
        <v>5092374</v>
      </c>
      <c r="O41">
        <v>8730590</v>
      </c>
    </row>
    <row r="42" spans="1:15">
      <c r="A42" s="10" t="s">
        <v>69</v>
      </c>
      <c r="B42" s="11" t="str">
        <f>VLOOKUP(A42,[1]Scrap!$A$3:$E$4580,3,FALSE)</f>
        <v>80301403AF1</v>
      </c>
      <c r="C42" s="12" t="s">
        <v>604</v>
      </c>
      <c r="D42" s="11" t="s">
        <v>401</v>
      </c>
      <c r="E42" s="14">
        <v>0.32738975999999997</v>
      </c>
      <c r="F42" s="14">
        <v>0.32738975999999997</v>
      </c>
      <c r="G42" s="14">
        <v>0.32738975999999997</v>
      </c>
      <c r="H42" s="17">
        <f t="shared" si="0"/>
        <v>0.32738975999999997</v>
      </c>
      <c r="I42" s="15">
        <f t="shared" si="1"/>
        <v>0</v>
      </c>
      <c r="J42" s="16">
        <f t="shared" si="2"/>
        <v>0</v>
      </c>
      <c r="K42" s="18" t="s">
        <v>325</v>
      </c>
      <c r="L42" s="19">
        <v>2.4690625000000001E-2</v>
      </c>
      <c r="M42" s="65">
        <v>42045</v>
      </c>
      <c r="N42">
        <v>4480901</v>
      </c>
      <c r="O42">
        <v>3804185</v>
      </c>
    </row>
    <row r="43" spans="1:15">
      <c r="A43" s="21" t="s">
        <v>70</v>
      </c>
      <c r="B43" s="11" t="str">
        <f>VLOOKUP(A43,[1]Scrap!$A$3:$E$4580,3,FALSE)</f>
        <v>80301601AF1</v>
      </c>
      <c r="C43" s="12" t="s">
        <v>605</v>
      </c>
      <c r="D43" s="11" t="s">
        <v>401</v>
      </c>
      <c r="E43" s="14">
        <v>0.44581552499999999</v>
      </c>
      <c r="F43" s="14">
        <v>0.44581552499999999</v>
      </c>
      <c r="G43" s="14">
        <v>0.44581552499999999</v>
      </c>
      <c r="H43" s="17">
        <f t="shared" si="0"/>
        <v>0.44581552499999999</v>
      </c>
      <c r="I43" s="15">
        <f t="shared" si="1"/>
        <v>0</v>
      </c>
      <c r="J43" s="16">
        <f t="shared" si="2"/>
        <v>0</v>
      </c>
      <c r="K43" s="18" t="s">
        <v>327</v>
      </c>
      <c r="L43" s="19">
        <v>9.8549999999999999E-2</v>
      </c>
      <c r="M43" s="65">
        <v>42049</v>
      </c>
      <c r="N43">
        <v>9463197</v>
      </c>
      <c r="O43">
        <v>10715428</v>
      </c>
    </row>
    <row r="44" spans="1:15">
      <c r="A44" s="21" t="s">
        <v>72</v>
      </c>
      <c r="B44" s="11" t="str">
        <f>VLOOKUP(A44,[1]Scrap!$A$3:$E$4580,3,FALSE)</f>
        <v>80342801IF1</v>
      </c>
      <c r="C44" s="12" t="s">
        <v>606</v>
      </c>
      <c r="D44" s="11" t="s">
        <v>401</v>
      </c>
      <c r="E44" s="14">
        <v>0.545875</v>
      </c>
      <c r="F44" s="14">
        <v>0.545875</v>
      </c>
      <c r="G44" s="14">
        <v>0.545875</v>
      </c>
      <c r="H44" s="17">
        <f t="shared" si="0"/>
        <v>0.545875</v>
      </c>
      <c r="I44" s="15">
        <f t="shared" si="1"/>
        <v>0</v>
      </c>
      <c r="J44" s="16">
        <f t="shared" si="2"/>
        <v>0</v>
      </c>
      <c r="K44" s="18" t="s">
        <v>329</v>
      </c>
      <c r="L44" s="19">
        <v>6.3366666666666668E-2</v>
      </c>
      <c r="M44" s="65">
        <v>42053</v>
      </c>
      <c r="N44">
        <v>10335314</v>
      </c>
      <c r="O44">
        <v>6244518</v>
      </c>
    </row>
    <row r="45" spans="1:15">
      <c r="A45" s="10" t="s">
        <v>74</v>
      </c>
      <c r="B45" s="11" t="str">
        <f>VLOOKUP(A45,[1]Scrap!$A$3:$E$4580,3,FALSE)</f>
        <v>80414207AF1</v>
      </c>
      <c r="C45" s="12" t="s">
        <v>607</v>
      </c>
      <c r="D45" s="11" t="s">
        <v>401</v>
      </c>
      <c r="E45" s="14">
        <v>0.53707500000000008</v>
      </c>
      <c r="F45" s="14">
        <v>0.53707500000000008</v>
      </c>
      <c r="G45" s="14">
        <v>0.53707500000000008</v>
      </c>
      <c r="H45" s="17">
        <f t="shared" si="0"/>
        <v>0.53707500000000008</v>
      </c>
      <c r="I45" s="15">
        <f t="shared" si="1"/>
        <v>0</v>
      </c>
      <c r="J45" s="16">
        <f t="shared" si="2"/>
        <v>0</v>
      </c>
      <c r="K45" s="18" t="s">
        <v>1</v>
      </c>
      <c r="L45" s="19">
        <v>9.0329166666666669E-2</v>
      </c>
      <c r="M45" s="65">
        <v>42057</v>
      </c>
      <c r="N45">
        <v>9912712</v>
      </c>
      <c r="O45">
        <v>3826327</v>
      </c>
    </row>
    <row r="46" spans="1:15">
      <c r="A46" s="10" t="s">
        <v>75</v>
      </c>
      <c r="B46" s="11" t="s">
        <v>425</v>
      </c>
      <c r="C46" s="12" t="s">
        <v>608</v>
      </c>
      <c r="D46" s="11" t="s">
        <v>71</v>
      </c>
      <c r="E46" s="14">
        <v>0</v>
      </c>
      <c r="F46" s="14">
        <v>0</v>
      </c>
      <c r="G46" s="14">
        <v>0.80300000000000005</v>
      </c>
      <c r="H46" s="17">
        <f t="shared" si="0"/>
        <v>0.80300000000000005</v>
      </c>
      <c r="I46" s="15">
        <f t="shared" si="1"/>
        <v>0</v>
      </c>
      <c r="J46" s="16">
        <f t="shared" si="2"/>
        <v>0</v>
      </c>
      <c r="K46" s="18" t="s">
        <v>334</v>
      </c>
      <c r="L46" s="19">
        <v>8.8724999999999998E-2</v>
      </c>
      <c r="M46" s="65">
        <v>42061</v>
      </c>
      <c r="N46">
        <v>10535269</v>
      </c>
      <c r="O46">
        <v>2860859</v>
      </c>
    </row>
    <row r="47" spans="1:15">
      <c r="A47" s="10" t="s">
        <v>76</v>
      </c>
      <c r="B47" s="11" t="s">
        <v>426</v>
      </c>
      <c r="C47" s="12" t="s">
        <v>609</v>
      </c>
      <c r="D47" s="11" t="s">
        <v>71</v>
      </c>
      <c r="E47" s="14">
        <v>0</v>
      </c>
      <c r="F47" s="14">
        <v>0</v>
      </c>
      <c r="G47" s="14">
        <v>0.64</v>
      </c>
      <c r="H47" s="17">
        <f t="shared" si="0"/>
        <v>0.64</v>
      </c>
      <c r="I47" s="15">
        <f t="shared" si="1"/>
        <v>0</v>
      </c>
      <c r="J47" s="16">
        <f t="shared" si="2"/>
        <v>0</v>
      </c>
      <c r="K47" s="18" t="s">
        <v>339</v>
      </c>
      <c r="L47" s="19">
        <v>0.23705000000000001</v>
      </c>
      <c r="M47" s="65">
        <v>42065</v>
      </c>
      <c r="N47">
        <v>3520730</v>
      </c>
      <c r="O47">
        <v>3624144</v>
      </c>
    </row>
    <row r="48" spans="1:15">
      <c r="A48" s="10" t="s">
        <v>77</v>
      </c>
      <c r="B48" s="11" t="str">
        <f>VLOOKUP(A48,[1]Scrap!$A$3:$E$4580,3,FALSE)</f>
        <v>80414401AF1</v>
      </c>
      <c r="C48" s="12" t="s">
        <v>610</v>
      </c>
      <c r="D48" s="11" t="s">
        <v>401</v>
      </c>
      <c r="E48" s="20">
        <v>0.10583846153846155</v>
      </c>
      <c r="F48" s="20">
        <v>0.10583846153846155</v>
      </c>
      <c r="G48" s="20">
        <v>0.10583846153846155</v>
      </c>
      <c r="H48" s="17">
        <f t="shared" si="0"/>
        <v>0.10583846153846155</v>
      </c>
      <c r="I48" s="15">
        <f t="shared" si="1"/>
        <v>0</v>
      </c>
      <c r="J48" s="16">
        <f t="shared" si="2"/>
        <v>0</v>
      </c>
      <c r="K48" s="18" t="s">
        <v>342</v>
      </c>
      <c r="L48" s="19">
        <v>0.23724374999999998</v>
      </c>
      <c r="M48" s="65">
        <v>42069</v>
      </c>
      <c r="N48">
        <v>5778733</v>
      </c>
      <c r="O48">
        <v>1223298</v>
      </c>
    </row>
    <row r="49" spans="1:15">
      <c r="A49" s="10" t="s">
        <v>78</v>
      </c>
      <c r="B49" s="11" t="str">
        <f>VLOOKUP(A49,[1]Scrap!$A$3:$E$4580,3,FALSE)</f>
        <v>80414401DF1</v>
      </c>
      <c r="C49" s="12" t="s">
        <v>611</v>
      </c>
      <c r="D49" s="11" t="s">
        <v>401</v>
      </c>
      <c r="E49" s="20">
        <v>0.3543</v>
      </c>
      <c r="F49" s="20">
        <v>0.3543</v>
      </c>
      <c r="G49" s="20">
        <v>0.3543</v>
      </c>
      <c r="H49" s="17">
        <f t="shared" si="0"/>
        <v>0.3543</v>
      </c>
      <c r="I49" s="15">
        <f t="shared" si="1"/>
        <v>0</v>
      </c>
      <c r="J49" s="16">
        <f t="shared" si="2"/>
        <v>0</v>
      </c>
      <c r="K49" s="18" t="s">
        <v>343</v>
      </c>
      <c r="L49" s="19">
        <v>0.39187499999999997</v>
      </c>
      <c r="M49" s="65">
        <v>42073</v>
      </c>
      <c r="N49">
        <v>1805898</v>
      </c>
      <c r="O49">
        <v>7013110</v>
      </c>
    </row>
    <row r="50" spans="1:15">
      <c r="A50" s="10" t="s">
        <v>79</v>
      </c>
      <c r="B50" s="11" t="str">
        <f>VLOOKUP(A50,[1]Scrap!$A$3:$E$4580,3,FALSE)</f>
        <v>80414401FF1</v>
      </c>
      <c r="C50" s="12" t="s">
        <v>612</v>
      </c>
      <c r="D50" s="11" t="s">
        <v>401</v>
      </c>
      <c r="E50" s="20">
        <v>0.10780857142857142</v>
      </c>
      <c r="F50" s="20">
        <v>0.106</v>
      </c>
      <c r="G50" s="20">
        <v>0.106</v>
      </c>
      <c r="H50" s="17">
        <f t="shared" si="0"/>
        <v>0.106</v>
      </c>
      <c r="I50" s="15">
        <f t="shared" si="1"/>
        <v>0</v>
      </c>
      <c r="J50" s="16">
        <f t="shared" si="2"/>
        <v>0</v>
      </c>
      <c r="K50" s="18" t="s">
        <v>346</v>
      </c>
      <c r="L50" s="19">
        <v>0.24271999999999999</v>
      </c>
      <c r="M50" s="65">
        <v>42077</v>
      </c>
      <c r="N50">
        <v>1625277</v>
      </c>
      <c r="O50">
        <v>11818684</v>
      </c>
    </row>
    <row r="51" spans="1:15">
      <c r="A51" s="10" t="s">
        <v>80</v>
      </c>
      <c r="B51" s="11" t="str">
        <f>VLOOKUP(A51,[1]Scrap!$A$3:$E$4580,3,FALSE)</f>
        <v>80414401GF1</v>
      </c>
      <c r="C51" s="12" t="s">
        <v>613</v>
      </c>
      <c r="D51" s="11" t="s">
        <v>401</v>
      </c>
      <c r="E51" s="14">
        <v>0.10939104166666667</v>
      </c>
      <c r="F51" s="14">
        <v>0.10939104166666667</v>
      </c>
      <c r="G51" s="14">
        <v>0.10939104166666667</v>
      </c>
      <c r="H51" s="17">
        <f t="shared" si="0"/>
        <v>0.10939104166666667</v>
      </c>
      <c r="I51" s="15">
        <f t="shared" si="1"/>
        <v>0</v>
      </c>
      <c r="J51" s="16">
        <f t="shared" si="2"/>
        <v>0</v>
      </c>
      <c r="K51" s="18" t="s">
        <v>347</v>
      </c>
      <c r="L51" s="19">
        <v>0.34150000000000003</v>
      </c>
      <c r="M51" s="65">
        <v>42081</v>
      </c>
      <c r="N51">
        <v>1254660</v>
      </c>
      <c r="O51">
        <v>4104908</v>
      </c>
    </row>
    <row r="52" spans="1:15">
      <c r="A52" s="10" t="s">
        <v>81</v>
      </c>
      <c r="B52" s="11" t="s">
        <v>427</v>
      </c>
      <c r="C52" s="12" t="s">
        <v>614</v>
      </c>
      <c r="D52" s="11" t="s">
        <v>401</v>
      </c>
      <c r="E52" s="20">
        <v>6.989999999999999E-2</v>
      </c>
      <c r="F52" s="20">
        <v>6.989999999999999E-2</v>
      </c>
      <c r="G52" s="20">
        <v>6.989999999999999E-2</v>
      </c>
      <c r="H52" s="17">
        <f t="shared" si="0"/>
        <v>6.989999999999999E-2</v>
      </c>
      <c r="I52" s="15">
        <f t="shared" si="1"/>
        <v>0</v>
      </c>
      <c r="J52" s="16">
        <f t="shared" si="2"/>
        <v>0</v>
      </c>
      <c r="K52" s="18" t="s">
        <v>351</v>
      </c>
      <c r="L52" s="19">
        <v>0.1426611111111111</v>
      </c>
      <c r="M52" s="65">
        <v>42085</v>
      </c>
      <c r="N52">
        <v>2508870</v>
      </c>
      <c r="O52">
        <v>10613547</v>
      </c>
    </row>
    <row r="53" spans="1:15">
      <c r="A53" s="10" t="s">
        <v>82</v>
      </c>
      <c r="B53" s="11" t="s">
        <v>428</v>
      </c>
      <c r="C53" s="12" t="s">
        <v>615</v>
      </c>
      <c r="D53" s="11" t="s">
        <v>401</v>
      </c>
      <c r="E53" s="20">
        <v>0.18709999999999999</v>
      </c>
      <c r="F53" s="20">
        <v>0.18709999999999999</v>
      </c>
      <c r="G53" s="20">
        <v>0.18709999999999999</v>
      </c>
      <c r="H53" s="17">
        <f t="shared" si="0"/>
        <v>0.18709999999999999</v>
      </c>
      <c r="I53" s="15">
        <f t="shared" si="1"/>
        <v>0</v>
      </c>
      <c r="J53" s="16">
        <f t="shared" si="2"/>
        <v>0</v>
      </c>
      <c r="K53" s="18" t="s">
        <v>354</v>
      </c>
      <c r="L53" s="19">
        <v>6.888749999999999E-2</v>
      </c>
      <c r="M53" s="65">
        <v>42089</v>
      </c>
      <c r="N53">
        <v>7508248</v>
      </c>
      <c r="O53">
        <v>6425157</v>
      </c>
    </row>
    <row r="54" spans="1:15">
      <c r="A54" s="10" t="s">
        <v>83</v>
      </c>
      <c r="B54" s="11" t="s">
        <v>429</v>
      </c>
      <c r="C54" s="12" t="s">
        <v>616</v>
      </c>
      <c r="D54" s="11" t="s">
        <v>71</v>
      </c>
      <c r="E54" s="20">
        <v>0.18709999999999999</v>
      </c>
      <c r="F54" s="20">
        <v>0</v>
      </c>
      <c r="G54" s="20">
        <v>0.107</v>
      </c>
      <c r="H54" s="17">
        <f t="shared" si="0"/>
        <v>0.107</v>
      </c>
      <c r="I54" s="15">
        <f t="shared" si="1"/>
        <v>0</v>
      </c>
      <c r="J54" s="16">
        <f t="shared" si="2"/>
        <v>0</v>
      </c>
      <c r="K54" s="18" t="s">
        <v>357</v>
      </c>
      <c r="L54" s="19">
        <v>0.17106136363636365</v>
      </c>
      <c r="M54" s="65">
        <v>42093</v>
      </c>
      <c r="N54">
        <v>4219527</v>
      </c>
      <c r="O54">
        <v>2104292</v>
      </c>
    </row>
    <row r="55" spans="1:15">
      <c r="A55" s="10" t="s">
        <v>292</v>
      </c>
      <c r="B55" s="11" t="str">
        <f>VLOOKUP(A55,[1]Scrap!$A$3:$E$4580,3,FALSE)</f>
        <v>8X12415FAF1</v>
      </c>
      <c r="C55" s="12" t="s">
        <v>617</v>
      </c>
      <c r="D55" s="11" t="s">
        <v>401</v>
      </c>
      <c r="E55" s="14">
        <v>5.7097119047619049E-2</v>
      </c>
      <c r="F55" s="14">
        <v>5.7097119047619049E-2</v>
      </c>
      <c r="G55" s="14">
        <v>5.7097119047619049E-2</v>
      </c>
      <c r="H55" s="17">
        <f t="shared" si="0"/>
        <v>4.5760049019607826E-2</v>
      </c>
      <c r="I55" s="15">
        <f t="shared" si="1"/>
        <v>-1.1337070028011223E-2</v>
      </c>
      <c r="J55" s="16">
        <f t="shared" si="2"/>
        <v>-0.19855765434602921</v>
      </c>
      <c r="K55" s="9"/>
      <c r="L55" s="9"/>
      <c r="M55" s="65">
        <v>42097</v>
      </c>
      <c r="N55">
        <v>6645441</v>
      </c>
      <c r="O55">
        <v>4037974</v>
      </c>
    </row>
    <row r="56" spans="1:15">
      <c r="A56" s="29" t="s">
        <v>85</v>
      </c>
      <c r="B56" s="30" t="s">
        <v>431</v>
      </c>
      <c r="C56" s="31" t="s">
        <v>618</v>
      </c>
      <c r="D56" s="30" t="s">
        <v>71</v>
      </c>
      <c r="E56" s="33">
        <v>0.18709999999999999</v>
      </c>
      <c r="F56" s="33">
        <v>0</v>
      </c>
      <c r="G56" s="33">
        <v>0.12139999999999999</v>
      </c>
      <c r="H56" s="17">
        <f t="shared" si="0"/>
        <v>0.12139999999999999</v>
      </c>
      <c r="I56" s="15">
        <f t="shared" si="1"/>
        <v>0</v>
      </c>
      <c r="J56" s="16">
        <f t="shared" si="2"/>
        <v>0</v>
      </c>
      <c r="K56" s="18" t="s">
        <v>40</v>
      </c>
      <c r="L56" s="19">
        <v>0.21712500000000001</v>
      </c>
      <c r="M56" s="65">
        <v>42101</v>
      </c>
      <c r="N56">
        <v>327700</v>
      </c>
      <c r="O56">
        <v>7213067</v>
      </c>
    </row>
    <row r="57" spans="1:15">
      <c r="A57" s="10" t="s">
        <v>86</v>
      </c>
      <c r="B57" s="11" t="str">
        <f>VLOOKUP(A57,[1]Scrap!$A$3:$E$4580,3,FALSE)</f>
        <v>80414601AF1</v>
      </c>
      <c r="C57" s="12" t="s">
        <v>619</v>
      </c>
      <c r="D57" s="11" t="s">
        <v>401</v>
      </c>
      <c r="E57" s="20">
        <v>0.16983333333333336</v>
      </c>
      <c r="F57" s="20">
        <v>0.16983333333333336</v>
      </c>
      <c r="G57" s="20">
        <v>0.16983333333333336</v>
      </c>
      <c r="H57" s="17">
        <f t="shared" si="0"/>
        <v>0.16983333333333336</v>
      </c>
      <c r="I57" s="15">
        <f t="shared" si="1"/>
        <v>0</v>
      </c>
      <c r="J57" s="16">
        <f t="shared" si="2"/>
        <v>0</v>
      </c>
      <c r="K57" s="18" t="s">
        <v>41</v>
      </c>
      <c r="L57" s="19">
        <v>0.50049999999999994</v>
      </c>
      <c r="M57" s="65">
        <v>42105</v>
      </c>
      <c r="N57">
        <v>2191704</v>
      </c>
      <c r="O57">
        <v>9647226</v>
      </c>
    </row>
    <row r="58" spans="1:15">
      <c r="A58" s="10" t="s">
        <v>87</v>
      </c>
      <c r="B58" s="11" t="str">
        <f>VLOOKUP(A58,[1]Scrap!$A$3:$E$4580,3,FALSE)</f>
        <v>80414601BF1</v>
      </c>
      <c r="C58" s="12" t="s">
        <v>620</v>
      </c>
      <c r="D58" s="11" t="s">
        <v>401</v>
      </c>
      <c r="E58" s="20">
        <v>0.29254999999999998</v>
      </c>
      <c r="F58" s="20">
        <v>0.29254999999999998</v>
      </c>
      <c r="G58" s="20">
        <v>0.29254999999999998</v>
      </c>
      <c r="H58" s="17">
        <f t="shared" si="0"/>
        <v>0.29254999999999998</v>
      </c>
      <c r="I58" s="15">
        <f t="shared" si="1"/>
        <v>0</v>
      </c>
      <c r="J58" s="16">
        <f t="shared" si="2"/>
        <v>0</v>
      </c>
      <c r="K58" s="18" t="s">
        <v>42</v>
      </c>
      <c r="L58" s="19">
        <v>0.37141666666666673</v>
      </c>
      <c r="M58" s="65">
        <v>42109</v>
      </c>
      <c r="N58">
        <v>7999362</v>
      </c>
      <c r="O58">
        <v>2404987</v>
      </c>
    </row>
    <row r="59" spans="1:15">
      <c r="A59" s="10" t="s">
        <v>88</v>
      </c>
      <c r="B59" s="11" t="str">
        <f>VLOOKUP(A59,[1]Scrap!$A$3:$E$4580,3,FALSE)</f>
        <v>80414601EF1</v>
      </c>
      <c r="C59" s="12" t="s">
        <v>621</v>
      </c>
      <c r="D59" s="11" t="s">
        <v>401</v>
      </c>
      <c r="E59" s="14">
        <v>0.17656605</v>
      </c>
      <c r="F59" s="14">
        <v>0.17656605</v>
      </c>
      <c r="G59" s="14">
        <v>0.17656605</v>
      </c>
      <c r="H59" s="17">
        <f t="shared" si="0"/>
        <v>0.17656605</v>
      </c>
      <c r="I59" s="15">
        <f t="shared" si="1"/>
        <v>0</v>
      </c>
      <c r="J59" s="16">
        <f t="shared" si="2"/>
        <v>0</v>
      </c>
      <c r="K59" s="18" t="s">
        <v>360</v>
      </c>
      <c r="L59" s="19">
        <v>0.10113750000000001</v>
      </c>
      <c r="M59" s="65">
        <v>42113</v>
      </c>
      <c r="N59">
        <v>1402695</v>
      </c>
      <c r="O59">
        <v>8427181</v>
      </c>
    </row>
    <row r="60" spans="1:15">
      <c r="A60" s="10" t="s">
        <v>89</v>
      </c>
      <c r="B60" s="11" t="str">
        <f>VLOOKUP(A60,[1]Scrap!$A$3:$E$4580,3,FALSE)</f>
        <v>80493601IF1</v>
      </c>
      <c r="C60" s="12" t="s">
        <v>622</v>
      </c>
      <c r="D60" s="11" t="s">
        <v>401</v>
      </c>
      <c r="E60" s="14">
        <v>0.15188714</v>
      </c>
      <c r="F60" s="14">
        <v>0.15188714</v>
      </c>
      <c r="G60" s="14">
        <v>0.15188714</v>
      </c>
      <c r="H60" s="17">
        <f t="shared" si="0"/>
        <v>0.15188714</v>
      </c>
      <c r="I60" s="15">
        <f t="shared" si="1"/>
        <v>0</v>
      </c>
      <c r="J60" s="16">
        <f t="shared" si="2"/>
        <v>0</v>
      </c>
      <c r="K60" s="18" t="s">
        <v>362</v>
      </c>
      <c r="L60" s="19">
        <v>4.7132500000000001E-2</v>
      </c>
      <c r="M60" s="65">
        <v>42117</v>
      </c>
      <c r="N60">
        <v>8840327</v>
      </c>
      <c r="O60">
        <v>2574350</v>
      </c>
    </row>
    <row r="61" spans="1:15">
      <c r="A61" s="10" t="s">
        <v>90</v>
      </c>
      <c r="B61" s="11" t="str">
        <f>VLOOKUP(A61,[1]Scrap!$A$3:$E$4580,3,FALSE)</f>
        <v>80493601JF1</v>
      </c>
      <c r="C61" s="12" t="s">
        <v>623</v>
      </c>
      <c r="D61" s="11" t="s">
        <v>401</v>
      </c>
      <c r="E61" s="14">
        <v>0.141375</v>
      </c>
      <c r="F61" s="14">
        <v>0.141375</v>
      </c>
      <c r="G61" s="14">
        <v>0.141375</v>
      </c>
      <c r="H61" s="17">
        <f t="shared" si="0"/>
        <v>0.141375</v>
      </c>
      <c r="I61" s="15">
        <f t="shared" si="1"/>
        <v>0</v>
      </c>
      <c r="J61" s="16">
        <f t="shared" si="2"/>
        <v>0</v>
      </c>
      <c r="K61" s="18" t="s">
        <v>363</v>
      </c>
      <c r="L61" s="19">
        <v>0.19897000000000001</v>
      </c>
      <c r="M61" s="65">
        <v>42121</v>
      </c>
      <c r="N61">
        <v>6139343</v>
      </c>
      <c r="O61">
        <v>5220389</v>
      </c>
    </row>
    <row r="62" spans="1:15">
      <c r="A62" s="21" t="s">
        <v>144</v>
      </c>
      <c r="B62" s="11" t="str">
        <f>VLOOKUP(A62,[1]Scrap!$A$3:$E$4580,3,FALSE)</f>
        <v>80720302AF1</v>
      </c>
      <c r="C62" s="12" t="s">
        <v>624</v>
      </c>
      <c r="D62" s="11" t="s">
        <v>401</v>
      </c>
      <c r="E62" s="14">
        <v>0.20646249999999999</v>
      </c>
      <c r="F62" s="14">
        <v>0.20646249999999999</v>
      </c>
      <c r="G62" s="14">
        <v>0.20646249999999999</v>
      </c>
      <c r="H62" s="17">
        <f t="shared" si="0"/>
        <v>0.16738125000000001</v>
      </c>
      <c r="I62" s="15">
        <f t="shared" si="1"/>
        <v>-3.9081249999999984E-2</v>
      </c>
      <c r="J62" s="16">
        <f t="shared" si="2"/>
        <v>-0.18928982260701088</v>
      </c>
      <c r="K62" s="27"/>
      <c r="L62" s="27"/>
      <c r="M62" s="65">
        <v>42005</v>
      </c>
      <c r="N62">
        <v>4872354</v>
      </c>
      <c r="O62">
        <v>7255166</v>
      </c>
    </row>
    <row r="63" spans="1:15">
      <c r="A63" s="10" t="s">
        <v>92</v>
      </c>
      <c r="B63" s="11" t="str">
        <f>VLOOKUP(A63,[1]Scrap!$A$3:$E$4580,3,FALSE)</f>
        <v>80496505EF1</v>
      </c>
      <c r="C63" s="12" t="s">
        <v>625</v>
      </c>
      <c r="D63" s="11" t="s">
        <v>401</v>
      </c>
      <c r="E63" s="14">
        <v>0.52171000000000001</v>
      </c>
      <c r="F63" s="14">
        <v>0.52171000000000001</v>
      </c>
      <c r="G63" s="14">
        <v>0.52171000000000001</v>
      </c>
      <c r="H63" s="17">
        <f t="shared" si="0"/>
        <v>0.52171000000000001</v>
      </c>
      <c r="I63" s="15">
        <f t="shared" si="1"/>
        <v>0</v>
      </c>
      <c r="J63" s="16">
        <f t="shared" si="2"/>
        <v>0</v>
      </c>
      <c r="K63" s="18" t="s">
        <v>371</v>
      </c>
      <c r="L63" s="19">
        <v>0.15407857142857143</v>
      </c>
      <c r="M63" s="65">
        <v>42009</v>
      </c>
      <c r="N63">
        <v>9995948</v>
      </c>
      <c r="O63">
        <v>29533</v>
      </c>
    </row>
    <row r="64" spans="1:15">
      <c r="A64" s="10" t="s">
        <v>93</v>
      </c>
      <c r="B64" s="11" t="s">
        <v>432</v>
      </c>
      <c r="C64" s="12" t="s">
        <v>626</v>
      </c>
      <c r="D64" s="11" t="s">
        <v>401</v>
      </c>
      <c r="E64" s="20">
        <v>0.12916666666666668</v>
      </c>
      <c r="F64" s="20">
        <v>0.12916666666666668</v>
      </c>
      <c r="G64" s="20">
        <v>0.12916666666666668</v>
      </c>
      <c r="H64" s="17">
        <f t="shared" si="0"/>
        <v>0.12916666666666668</v>
      </c>
      <c r="I64" s="15">
        <f t="shared" si="1"/>
        <v>0</v>
      </c>
      <c r="J64" s="16">
        <f t="shared" si="2"/>
        <v>0</v>
      </c>
      <c r="K64" s="18" t="s">
        <v>374</v>
      </c>
      <c r="L64" s="19">
        <v>7.5698749999999995E-2</v>
      </c>
      <c r="M64" s="65">
        <v>42013</v>
      </c>
      <c r="N64">
        <v>1871461</v>
      </c>
      <c r="O64">
        <v>1210601</v>
      </c>
    </row>
    <row r="65" spans="1:15">
      <c r="A65" s="10" t="s">
        <v>94</v>
      </c>
      <c r="B65" s="11" t="s">
        <v>433</v>
      </c>
      <c r="C65" s="12" t="s">
        <v>627</v>
      </c>
      <c r="D65" s="11" t="s">
        <v>401</v>
      </c>
      <c r="E65" s="14">
        <v>7.0699999999999999E-2</v>
      </c>
      <c r="F65" s="14">
        <v>7.0699999999999999E-2</v>
      </c>
      <c r="G65" s="14">
        <v>7.0699999999999999E-2</v>
      </c>
      <c r="H65" s="17">
        <f t="shared" si="0"/>
        <v>7.0699999999999999E-2</v>
      </c>
      <c r="I65" s="15">
        <f t="shared" si="1"/>
        <v>0</v>
      </c>
      <c r="J65" s="16">
        <f t="shared" si="2"/>
        <v>0</v>
      </c>
      <c r="K65" s="18" t="s">
        <v>376</v>
      </c>
      <c r="L65" s="19">
        <v>0.12760000000000002</v>
      </c>
      <c r="M65" s="65">
        <v>42017</v>
      </c>
      <c r="N65">
        <v>11205072</v>
      </c>
      <c r="O65">
        <v>1827454</v>
      </c>
    </row>
    <row r="66" spans="1:15">
      <c r="A66" s="29" t="s">
        <v>95</v>
      </c>
      <c r="B66" s="30" t="s">
        <v>434</v>
      </c>
      <c r="C66" s="31" t="s">
        <v>628</v>
      </c>
      <c r="D66" s="30" t="s">
        <v>71</v>
      </c>
      <c r="E66" s="36">
        <v>7.0699999999999999E-2</v>
      </c>
      <c r="F66" s="36">
        <v>7.0699999999999999E-2</v>
      </c>
      <c r="G66" s="36">
        <v>6.6100000000000006E-2</v>
      </c>
      <c r="H66" s="17">
        <f t="shared" ref="H66:H129" si="3">IFERROR(INDEX($K$2:$L$116,MATCH($A66,$K$2:$K$116,0),2),G66)</f>
        <v>6.6100000000000006E-2</v>
      </c>
      <c r="I66" s="15">
        <f t="shared" ref="I66:I129" si="4">H66-G66</f>
        <v>0</v>
      </c>
      <c r="J66" s="16">
        <f t="shared" ref="J66:J129" si="5">IF(G66&lt;&gt;0,I66/G66,)</f>
        <v>0</v>
      </c>
      <c r="K66" s="18" t="s">
        <v>43</v>
      </c>
      <c r="L66" s="19">
        <v>0.20468749999999999</v>
      </c>
      <c r="M66" s="65">
        <v>42021</v>
      </c>
      <c r="N66">
        <v>7401878</v>
      </c>
      <c r="O66">
        <v>6746922</v>
      </c>
    </row>
    <row r="67" spans="1:15">
      <c r="A67" s="21" t="s">
        <v>96</v>
      </c>
      <c r="B67" s="11" t="str">
        <f>VLOOKUP(A67,[1]Scrap!$A$3:$E$4580,3,FALSE)</f>
        <v>80496703AF1</v>
      </c>
      <c r="C67" s="12" t="s">
        <v>629</v>
      </c>
      <c r="D67" s="11" t="s">
        <v>401</v>
      </c>
      <c r="E67" s="14">
        <v>0.20951404499999998</v>
      </c>
      <c r="F67" s="14">
        <v>0.20951404499999998</v>
      </c>
      <c r="G67" s="14">
        <v>0.20951404499999998</v>
      </c>
      <c r="H67" s="17">
        <f t="shared" si="3"/>
        <v>0.20951404499999998</v>
      </c>
      <c r="I67" s="15">
        <f t="shared" si="4"/>
        <v>0</v>
      </c>
      <c r="J67" s="16">
        <f t="shared" si="5"/>
        <v>0</v>
      </c>
      <c r="K67" s="18" t="s">
        <v>49</v>
      </c>
      <c r="L67" s="19">
        <v>0.49275000000000002</v>
      </c>
      <c r="M67" s="65">
        <v>42025</v>
      </c>
      <c r="N67">
        <v>762786</v>
      </c>
      <c r="O67">
        <v>1029601</v>
      </c>
    </row>
    <row r="68" spans="1:15">
      <c r="A68" s="21" t="s">
        <v>97</v>
      </c>
      <c r="B68" s="11" t="str">
        <f>VLOOKUP(A68,[1]Scrap!$A$3:$E$4580,3,FALSE)</f>
        <v>80496704AF1</v>
      </c>
      <c r="C68" s="12" t="s">
        <v>630</v>
      </c>
      <c r="D68" s="11" t="s">
        <v>401</v>
      </c>
      <c r="E68" s="14">
        <v>0.21231785714285714</v>
      </c>
      <c r="F68" s="14">
        <v>0.21231785714285714</v>
      </c>
      <c r="G68" s="14">
        <v>0.21231785714285714</v>
      </c>
      <c r="H68" s="17">
        <f t="shared" si="3"/>
        <v>0.21231785714285714</v>
      </c>
      <c r="I68" s="15">
        <f t="shared" si="4"/>
        <v>0</v>
      </c>
      <c r="J68" s="16">
        <f t="shared" si="5"/>
        <v>0</v>
      </c>
      <c r="K68" s="18" t="s">
        <v>53</v>
      </c>
      <c r="L68" s="19">
        <v>0.32269078947368418</v>
      </c>
      <c r="M68" s="65">
        <v>42029</v>
      </c>
      <c r="N68">
        <v>9841509</v>
      </c>
      <c r="O68">
        <v>934443</v>
      </c>
    </row>
    <row r="69" spans="1:15">
      <c r="A69" s="10" t="s">
        <v>354</v>
      </c>
      <c r="B69" s="11" t="s">
        <v>545</v>
      </c>
      <c r="C69" s="12" t="s">
        <v>631</v>
      </c>
      <c r="D69" s="11" t="s">
        <v>401</v>
      </c>
      <c r="E69" s="20">
        <v>8.3900000000000002E-2</v>
      </c>
      <c r="F69" s="20">
        <v>8.3900000000000002E-2</v>
      </c>
      <c r="G69" s="20">
        <v>8.3900000000000002E-2</v>
      </c>
      <c r="H69" s="17">
        <f t="shared" si="3"/>
        <v>6.888749999999999E-2</v>
      </c>
      <c r="I69" s="15">
        <f t="shared" si="4"/>
        <v>-1.5012500000000012E-2</v>
      </c>
      <c r="J69" s="16">
        <f t="shared" si="5"/>
        <v>-0.17893325387365924</v>
      </c>
      <c r="K69" s="6"/>
      <c r="L69" s="6"/>
      <c r="M69" s="65">
        <v>42033</v>
      </c>
      <c r="N69">
        <v>11110033</v>
      </c>
      <c r="O69">
        <v>2129297</v>
      </c>
    </row>
    <row r="70" spans="1:15">
      <c r="A70" s="21" t="s">
        <v>99</v>
      </c>
      <c r="B70" s="11" t="str">
        <f>VLOOKUP(A70,[1]Scrap!$A$3:$E$4580,3,FALSE)</f>
        <v>80496704EF1</v>
      </c>
      <c r="C70" s="12" t="s">
        <v>632</v>
      </c>
      <c r="D70" s="11" t="s">
        <v>401</v>
      </c>
      <c r="E70" s="14">
        <v>0.211970935</v>
      </c>
      <c r="F70" s="14">
        <v>0.211970935</v>
      </c>
      <c r="G70" s="14">
        <v>0.211970935</v>
      </c>
      <c r="H70" s="17">
        <f t="shared" si="3"/>
        <v>0.211970935</v>
      </c>
      <c r="I70" s="15">
        <f t="shared" si="4"/>
        <v>0</v>
      </c>
      <c r="J70" s="16">
        <f t="shared" si="5"/>
        <v>0</v>
      </c>
      <c r="K70" s="18" t="s">
        <v>377</v>
      </c>
      <c r="L70" s="19">
        <v>0.21625</v>
      </c>
      <c r="M70" s="65">
        <v>42037</v>
      </c>
      <c r="N70">
        <v>6091815</v>
      </c>
      <c r="O70">
        <v>4248005</v>
      </c>
    </row>
    <row r="71" spans="1:15">
      <c r="A71" s="10" t="s">
        <v>100</v>
      </c>
      <c r="B71" s="11" t="str">
        <f>VLOOKUP(A71,[1]Scrap!$A$3:$E$4580,3,FALSE)</f>
        <v>80496704GF1</v>
      </c>
      <c r="C71" s="12" t="s">
        <v>633</v>
      </c>
      <c r="D71" s="11" t="s">
        <v>401</v>
      </c>
      <c r="E71" s="20">
        <v>5.338181818181819E-2</v>
      </c>
      <c r="F71" s="20">
        <v>5.338181818181819E-2</v>
      </c>
      <c r="G71" s="20">
        <v>5.338181818181819E-2</v>
      </c>
      <c r="H71" s="17">
        <f t="shared" si="3"/>
        <v>5.338181818181819E-2</v>
      </c>
      <c r="I71" s="15">
        <f t="shared" si="4"/>
        <v>0</v>
      </c>
      <c r="J71" s="16">
        <f t="shared" si="5"/>
        <v>0</v>
      </c>
      <c r="K71" s="18" t="s">
        <v>378</v>
      </c>
      <c r="L71" s="19">
        <v>0.1555</v>
      </c>
      <c r="M71" s="65">
        <v>42041</v>
      </c>
      <c r="N71">
        <v>3308742</v>
      </c>
      <c r="O71">
        <v>10518845</v>
      </c>
    </row>
    <row r="72" spans="1:15">
      <c r="A72" s="10" t="s">
        <v>237</v>
      </c>
      <c r="B72" s="11" t="s">
        <v>495</v>
      </c>
      <c r="C72" s="12" t="s">
        <v>634</v>
      </c>
      <c r="D72" s="11" t="s">
        <v>401</v>
      </c>
      <c r="E72" s="14">
        <v>0</v>
      </c>
      <c r="F72" s="14">
        <v>0</v>
      </c>
      <c r="G72" s="14">
        <v>0.51100000000000001</v>
      </c>
      <c r="H72" s="17">
        <f t="shared" si="3"/>
        <v>0.51100000000000001</v>
      </c>
      <c r="I72" s="15">
        <f t="shared" si="4"/>
        <v>0</v>
      </c>
      <c r="J72" s="16">
        <f t="shared" si="5"/>
        <v>0</v>
      </c>
      <c r="K72" s="6"/>
      <c r="L72" s="6"/>
      <c r="M72" s="65">
        <v>42045</v>
      </c>
      <c r="N72">
        <v>11897651</v>
      </c>
      <c r="O72">
        <v>5699643</v>
      </c>
    </row>
    <row r="73" spans="1:15">
      <c r="A73" s="10" t="s">
        <v>244</v>
      </c>
      <c r="B73" s="11" t="s">
        <v>501</v>
      </c>
      <c r="C73" s="12" t="s">
        <v>635</v>
      </c>
      <c r="D73" s="11" t="s">
        <v>401</v>
      </c>
      <c r="E73" s="20">
        <v>0.43326666666666669</v>
      </c>
      <c r="F73" s="20">
        <v>0.43326666666666669</v>
      </c>
      <c r="G73" s="20">
        <v>0.46400000000000002</v>
      </c>
      <c r="H73" s="17">
        <f t="shared" si="3"/>
        <v>0.38445625000000005</v>
      </c>
      <c r="I73" s="15">
        <f t="shared" si="4"/>
        <v>-7.9543749999999969E-2</v>
      </c>
      <c r="J73" s="16">
        <f t="shared" si="5"/>
        <v>-0.1714304956896551</v>
      </c>
      <c r="K73" s="25"/>
      <c r="L73" s="25"/>
      <c r="M73" s="65">
        <v>42049</v>
      </c>
      <c r="N73">
        <v>1892839</v>
      </c>
      <c r="O73">
        <v>12101702</v>
      </c>
    </row>
    <row r="74" spans="1:15">
      <c r="A74" s="21" t="s">
        <v>347</v>
      </c>
      <c r="B74" s="11" t="str">
        <f>VLOOKUP(A74,[1]Scrap!$A$3:$E$4580,3,FALSE)</f>
        <v>8X16002GAF1</v>
      </c>
      <c r="C74" s="12" t="s">
        <v>636</v>
      </c>
      <c r="D74" s="11" t="s">
        <v>401</v>
      </c>
      <c r="E74" s="14">
        <v>0.41108903499999994</v>
      </c>
      <c r="F74" s="14">
        <v>0.41108903499999994</v>
      </c>
      <c r="G74" s="14">
        <v>0.41108903499999994</v>
      </c>
      <c r="H74" s="17">
        <f t="shared" si="3"/>
        <v>0.34150000000000003</v>
      </c>
      <c r="I74" s="15">
        <f t="shared" si="4"/>
        <v>-6.958903499999991E-2</v>
      </c>
      <c r="J74" s="16">
        <f t="shared" si="5"/>
        <v>-0.16927971576765583</v>
      </c>
      <c r="K74" s="6"/>
      <c r="L74" s="6"/>
      <c r="M74" s="65">
        <v>42053</v>
      </c>
      <c r="N74">
        <v>12195106</v>
      </c>
      <c r="O74">
        <v>9809765</v>
      </c>
    </row>
    <row r="75" spans="1:15">
      <c r="A75" s="10" t="s">
        <v>104</v>
      </c>
      <c r="B75" s="11" t="s">
        <v>437</v>
      </c>
      <c r="C75" s="12" t="s">
        <v>637</v>
      </c>
      <c r="D75" s="11" t="s">
        <v>401</v>
      </c>
      <c r="E75" s="20">
        <v>3.6799999999999999E-2</v>
      </c>
      <c r="F75" s="20">
        <v>3.6799999999999999E-2</v>
      </c>
      <c r="G75" s="20">
        <v>3.6799999999999999E-2</v>
      </c>
      <c r="H75" s="17">
        <f t="shared" si="3"/>
        <v>3.6799999999999999E-2</v>
      </c>
      <c r="I75" s="15">
        <f t="shared" si="4"/>
        <v>0</v>
      </c>
      <c r="J75" s="16">
        <f t="shared" si="5"/>
        <v>0</v>
      </c>
      <c r="K75" s="18" t="s">
        <v>392</v>
      </c>
      <c r="L75" s="19">
        <v>0.57029411764705873</v>
      </c>
      <c r="M75" s="65">
        <v>42057</v>
      </c>
      <c r="N75">
        <v>5214550</v>
      </c>
      <c r="O75">
        <v>2481430</v>
      </c>
    </row>
    <row r="76" spans="1:15">
      <c r="A76" s="10" t="s">
        <v>84</v>
      </c>
      <c r="B76" s="11" t="s">
        <v>430</v>
      </c>
      <c r="C76" s="12" t="s">
        <v>638</v>
      </c>
      <c r="D76" s="11" t="s">
        <v>401</v>
      </c>
      <c r="E76" s="20">
        <v>0.18709999999999999</v>
      </c>
      <c r="F76" s="20">
        <v>0</v>
      </c>
      <c r="G76" s="20">
        <v>0.107</v>
      </c>
      <c r="H76" s="17">
        <f t="shared" si="3"/>
        <v>8.9349999999999999E-2</v>
      </c>
      <c r="I76" s="15">
        <f t="shared" si="4"/>
        <v>-1.7649999999999999E-2</v>
      </c>
      <c r="J76" s="16">
        <f t="shared" si="5"/>
        <v>-0.16495327102803739</v>
      </c>
      <c r="K76" s="18" t="s">
        <v>33</v>
      </c>
      <c r="L76" s="19">
        <v>0.44255819672131141</v>
      </c>
      <c r="M76" s="65">
        <v>42061</v>
      </c>
      <c r="N76">
        <v>9248984</v>
      </c>
      <c r="O76">
        <v>4694234</v>
      </c>
    </row>
    <row r="77" spans="1:15">
      <c r="A77" s="10" t="s">
        <v>106</v>
      </c>
      <c r="B77" s="11" t="s">
        <v>438</v>
      </c>
      <c r="C77" s="12" t="s">
        <v>639</v>
      </c>
      <c r="D77" s="11" t="s">
        <v>71</v>
      </c>
      <c r="E77" s="14">
        <v>0</v>
      </c>
      <c r="F77" s="14">
        <v>0</v>
      </c>
      <c r="G77" s="14">
        <v>0.1094</v>
      </c>
      <c r="H77" s="17">
        <f t="shared" si="3"/>
        <v>0.1094</v>
      </c>
      <c r="I77" s="15">
        <f t="shared" si="4"/>
        <v>0</v>
      </c>
      <c r="J77" s="16">
        <f t="shared" si="5"/>
        <v>0</v>
      </c>
      <c r="K77" s="18" t="s">
        <v>394</v>
      </c>
      <c r="L77" s="19">
        <v>0.62924999999999998</v>
      </c>
      <c r="M77" s="65">
        <v>42065</v>
      </c>
      <c r="N77">
        <v>10709765</v>
      </c>
      <c r="O77">
        <v>7114973</v>
      </c>
    </row>
    <row r="78" spans="1:15">
      <c r="A78" s="21" t="s">
        <v>107</v>
      </c>
      <c r="B78" s="11" t="str">
        <f>VLOOKUP(A78,[1]Scrap!$A$3:$E$4580,3,FALSE)</f>
        <v>80497005AF1</v>
      </c>
      <c r="C78" s="12" t="s">
        <v>640</v>
      </c>
      <c r="D78" s="11" t="s">
        <v>401</v>
      </c>
      <c r="E78" s="14">
        <v>0.57585775862068966</v>
      </c>
      <c r="F78" s="14">
        <v>0.57585775862068966</v>
      </c>
      <c r="G78" s="14">
        <v>0.57585775862068966</v>
      </c>
      <c r="H78" s="17">
        <f t="shared" si="3"/>
        <v>0.57585775862068966</v>
      </c>
      <c r="I78" s="15">
        <f t="shared" si="4"/>
        <v>0</v>
      </c>
      <c r="J78" s="16">
        <f t="shared" si="5"/>
        <v>0</v>
      </c>
      <c r="K78" s="18" t="s">
        <v>397</v>
      </c>
      <c r="L78" s="19">
        <v>0.41812500000000008</v>
      </c>
      <c r="M78" s="65">
        <v>42069</v>
      </c>
      <c r="N78">
        <v>8213503</v>
      </c>
      <c r="O78">
        <v>2101302</v>
      </c>
    </row>
    <row r="79" spans="1:15">
      <c r="A79" s="10" t="s">
        <v>6</v>
      </c>
      <c r="B79" s="11" t="str">
        <f>VLOOKUP(A79,[1]Scrap!$A$3:$E$4580,3,FALSE)</f>
        <v>80497005BF1</v>
      </c>
      <c r="C79" s="12" t="s">
        <v>641</v>
      </c>
      <c r="D79" s="11" t="s">
        <v>401</v>
      </c>
      <c r="E79" s="14">
        <v>0.63507856249999994</v>
      </c>
      <c r="F79" s="14">
        <v>0.63507856249999994</v>
      </c>
      <c r="G79" s="14">
        <v>0.63507856249999994</v>
      </c>
      <c r="H79" s="17">
        <f t="shared" si="3"/>
        <v>0.63507856249999994</v>
      </c>
      <c r="I79" s="15">
        <f t="shared" si="4"/>
        <v>0</v>
      </c>
      <c r="J79" s="16">
        <f t="shared" si="5"/>
        <v>0</v>
      </c>
      <c r="K79" s="18" t="s">
        <v>399</v>
      </c>
      <c r="L79" s="19">
        <v>0.4345</v>
      </c>
      <c r="M79" s="65">
        <v>42073</v>
      </c>
      <c r="N79">
        <v>9833201</v>
      </c>
      <c r="O79">
        <v>1316483</v>
      </c>
    </row>
    <row r="80" spans="1:15">
      <c r="A80" s="21" t="s">
        <v>108</v>
      </c>
      <c r="B80" s="11" t="str">
        <f>VLOOKUP(A80,[1]Scrap!$A$3:$E$4580,3,FALSE)</f>
        <v>80497005CF1</v>
      </c>
      <c r="C80" s="12" t="s">
        <v>642</v>
      </c>
      <c r="D80" s="11" t="s">
        <v>401</v>
      </c>
      <c r="E80" s="14">
        <v>0.34709375000000003</v>
      </c>
      <c r="F80" s="14">
        <v>0.34709375000000003</v>
      </c>
      <c r="G80" s="14">
        <v>0.34709375000000003</v>
      </c>
      <c r="H80" s="17">
        <f t="shared" si="3"/>
        <v>0.34709375000000003</v>
      </c>
      <c r="I80" s="15">
        <f t="shared" si="4"/>
        <v>0</v>
      </c>
      <c r="J80" s="16">
        <f t="shared" si="5"/>
        <v>0</v>
      </c>
      <c r="K80" s="18" t="s">
        <v>84</v>
      </c>
      <c r="L80" s="19">
        <v>8.9349999999999999E-2</v>
      </c>
      <c r="M80" s="65">
        <v>42077</v>
      </c>
      <c r="N80">
        <v>4646939</v>
      </c>
      <c r="O80">
        <v>8160755</v>
      </c>
    </row>
    <row r="81" spans="1:15">
      <c r="A81" s="10" t="s">
        <v>242</v>
      </c>
      <c r="B81" s="11" t="s">
        <v>499</v>
      </c>
      <c r="C81" s="12" t="s">
        <v>643</v>
      </c>
      <c r="D81" s="11" t="s">
        <v>401</v>
      </c>
      <c r="E81" s="14">
        <v>0</v>
      </c>
      <c r="F81" s="14">
        <v>0</v>
      </c>
      <c r="G81" s="14">
        <v>0.49199999999999999</v>
      </c>
      <c r="H81" s="17">
        <f t="shared" si="3"/>
        <v>0.4144166666666666</v>
      </c>
      <c r="I81" s="15">
        <f t="shared" si="4"/>
        <v>-7.7583333333333393E-2</v>
      </c>
      <c r="J81" s="16">
        <f t="shared" si="5"/>
        <v>-0.15768970189701909</v>
      </c>
      <c r="K81" s="6"/>
      <c r="L81" s="6"/>
      <c r="M81" s="65">
        <v>42081</v>
      </c>
      <c r="N81">
        <v>634911</v>
      </c>
      <c r="O81">
        <v>95893</v>
      </c>
    </row>
    <row r="82" spans="1:15">
      <c r="A82" s="10" t="s">
        <v>7</v>
      </c>
      <c r="B82" s="11" t="str">
        <f>VLOOKUP(A82,[1]Scrap!$A$3:$E$4580,3,FALSE)</f>
        <v>80497009BF1</v>
      </c>
      <c r="C82" s="12" t="s">
        <v>644</v>
      </c>
      <c r="D82" s="11" t="s">
        <v>401</v>
      </c>
      <c r="E82" s="14">
        <v>0.63507856249999994</v>
      </c>
      <c r="F82" s="14">
        <v>0.63507856249999994</v>
      </c>
      <c r="G82" s="14">
        <v>0.63507856249999994</v>
      </c>
      <c r="H82" s="17">
        <f t="shared" si="3"/>
        <v>0.63507856249999994</v>
      </c>
      <c r="I82" s="15">
        <f t="shared" si="4"/>
        <v>0</v>
      </c>
      <c r="J82" s="16">
        <f t="shared" si="5"/>
        <v>0</v>
      </c>
      <c r="K82" s="18" t="s">
        <v>91</v>
      </c>
      <c r="L82" s="19">
        <v>0.18753888888888887</v>
      </c>
      <c r="M82" s="65">
        <v>42085</v>
      </c>
      <c r="N82">
        <v>3246572</v>
      </c>
      <c r="O82">
        <v>1714356</v>
      </c>
    </row>
    <row r="83" spans="1:15">
      <c r="A83" s="21" t="s">
        <v>217</v>
      </c>
      <c r="B83" s="11" t="str">
        <f>VLOOKUP(A83,[1]Scrap!$A$3:$E$4580,3,FALSE)</f>
        <v>81090601AF1</v>
      </c>
      <c r="C83" s="12" t="s">
        <v>645</v>
      </c>
      <c r="D83" s="11" t="s">
        <v>401</v>
      </c>
      <c r="E83" s="14">
        <v>0.51975000000000005</v>
      </c>
      <c r="F83" s="14">
        <v>0.51975000000000005</v>
      </c>
      <c r="G83" s="14">
        <v>0.51975000000000005</v>
      </c>
      <c r="H83" s="17">
        <f t="shared" si="3"/>
        <v>0.44000357142857138</v>
      </c>
      <c r="I83" s="15">
        <f t="shared" si="4"/>
        <v>-7.9746428571428662E-2</v>
      </c>
      <c r="J83" s="16">
        <f t="shared" si="5"/>
        <v>-0.15343228200371073</v>
      </c>
      <c r="K83" s="6"/>
      <c r="L83" s="6"/>
      <c r="M83" s="65">
        <v>42089</v>
      </c>
      <c r="N83">
        <v>4245963</v>
      </c>
      <c r="O83">
        <v>159730</v>
      </c>
    </row>
    <row r="84" spans="1:15">
      <c r="A84" s="10" t="s">
        <v>54</v>
      </c>
      <c r="B84" s="11" t="s">
        <v>419</v>
      </c>
      <c r="C84" s="12" t="s">
        <v>646</v>
      </c>
      <c r="D84" s="11" t="s">
        <v>401</v>
      </c>
      <c r="E84" s="20">
        <v>0.19550000000000001</v>
      </c>
      <c r="F84" s="20">
        <v>0.19550000000000001</v>
      </c>
      <c r="G84" s="20">
        <v>0.19550000000000001</v>
      </c>
      <c r="H84" s="17">
        <f t="shared" si="3"/>
        <v>0.19550000000000001</v>
      </c>
      <c r="I84" s="15">
        <f t="shared" si="4"/>
        <v>0</v>
      </c>
      <c r="J84" s="16">
        <f t="shared" si="5"/>
        <v>0</v>
      </c>
      <c r="K84" s="18" t="s">
        <v>276</v>
      </c>
      <c r="L84" s="19">
        <v>9.9749305555555542E-2</v>
      </c>
      <c r="M84" s="65">
        <v>42093</v>
      </c>
      <c r="N84">
        <v>1074660</v>
      </c>
      <c r="O84">
        <v>3427104</v>
      </c>
    </row>
    <row r="85" spans="1:15">
      <c r="A85" s="10" t="s">
        <v>112</v>
      </c>
      <c r="B85" s="11" t="s">
        <v>441</v>
      </c>
      <c r="C85" s="12" t="s">
        <v>647</v>
      </c>
      <c r="D85" s="11" t="s">
        <v>71</v>
      </c>
      <c r="E85" s="14">
        <v>0</v>
      </c>
      <c r="F85" s="14">
        <v>0</v>
      </c>
      <c r="G85" s="14">
        <v>0.64300000000000002</v>
      </c>
      <c r="H85" s="17">
        <f t="shared" si="3"/>
        <v>0.64300000000000002</v>
      </c>
      <c r="I85" s="15">
        <f t="shared" si="4"/>
        <v>0</v>
      </c>
      <c r="J85" s="16">
        <f t="shared" si="5"/>
        <v>0</v>
      </c>
      <c r="K85" s="18" t="s">
        <v>101</v>
      </c>
      <c r="L85" s="19">
        <v>6.8481666666666691E-2</v>
      </c>
      <c r="M85" s="65">
        <v>42097</v>
      </c>
      <c r="N85">
        <v>3130161</v>
      </c>
      <c r="O85">
        <v>5134462</v>
      </c>
    </row>
    <row r="86" spans="1:15">
      <c r="A86" s="29" t="s">
        <v>113</v>
      </c>
      <c r="B86" s="30" t="s">
        <v>442</v>
      </c>
      <c r="C86" s="31" t="s">
        <v>648</v>
      </c>
      <c r="D86" s="30" t="s">
        <v>71</v>
      </c>
      <c r="E86" s="33">
        <v>0.26110833333333333</v>
      </c>
      <c r="F86" s="33">
        <v>0.26110833333333333</v>
      </c>
      <c r="G86" s="33">
        <v>0</v>
      </c>
      <c r="H86" s="17">
        <f t="shared" si="3"/>
        <v>0.32804166666666668</v>
      </c>
      <c r="I86" s="15">
        <f t="shared" si="4"/>
        <v>0.32804166666666668</v>
      </c>
      <c r="J86" s="16">
        <f t="shared" si="5"/>
        <v>0</v>
      </c>
      <c r="K86" s="18" t="s">
        <v>102</v>
      </c>
      <c r="L86" s="19">
        <v>7.1486217948717928E-2</v>
      </c>
      <c r="M86" s="65">
        <v>42101</v>
      </c>
      <c r="N86">
        <v>6448582</v>
      </c>
      <c r="O86">
        <v>11895104</v>
      </c>
    </row>
    <row r="87" spans="1:15">
      <c r="A87" s="21" t="s">
        <v>114</v>
      </c>
      <c r="B87" s="11" t="str">
        <f>VLOOKUP(A87,[1]Scrap!$A$3:$E$4580,3,FALSE)</f>
        <v>80497501AF1</v>
      </c>
      <c r="C87" s="12" t="s">
        <v>649</v>
      </c>
      <c r="D87" s="11" t="s">
        <v>401</v>
      </c>
      <c r="E87" s="14">
        <v>0.22325624999999999</v>
      </c>
      <c r="F87" s="14">
        <v>0.22325624999999999</v>
      </c>
      <c r="G87" s="14">
        <v>0.22325624999999999</v>
      </c>
      <c r="H87" s="17">
        <f t="shared" si="3"/>
        <v>0.22325624999999999</v>
      </c>
      <c r="I87" s="15">
        <f t="shared" si="4"/>
        <v>0</v>
      </c>
      <c r="J87" s="16">
        <f t="shared" si="5"/>
        <v>0</v>
      </c>
      <c r="K87" s="18" t="s">
        <v>103</v>
      </c>
      <c r="L87" s="19">
        <v>5.7979253472222214E-2</v>
      </c>
      <c r="M87" s="65">
        <v>42105</v>
      </c>
      <c r="N87">
        <v>5214485</v>
      </c>
      <c r="O87">
        <v>9158153</v>
      </c>
    </row>
    <row r="88" spans="1:15">
      <c r="A88" s="10" t="s">
        <v>115</v>
      </c>
      <c r="B88" s="11" t="str">
        <f>VLOOKUP(A88,[1]Scrap!$A$3:$E$4580,3,FALSE)</f>
        <v>80497501DF1</v>
      </c>
      <c r="C88" s="12" t="s">
        <v>650</v>
      </c>
      <c r="D88" s="11" t="s">
        <v>401</v>
      </c>
      <c r="E88" s="14">
        <v>0.54325000000000001</v>
      </c>
      <c r="F88" s="14">
        <v>0.54325000000000001</v>
      </c>
      <c r="G88" s="14">
        <v>0.54325000000000001</v>
      </c>
      <c r="H88" s="17">
        <f t="shared" si="3"/>
        <v>0.54325000000000001</v>
      </c>
      <c r="I88" s="15">
        <f t="shared" si="4"/>
        <v>0</v>
      </c>
      <c r="J88" s="16">
        <f t="shared" si="5"/>
        <v>0</v>
      </c>
      <c r="K88" s="18" t="s">
        <v>105</v>
      </c>
      <c r="L88" s="19">
        <v>0.10955357142857143</v>
      </c>
      <c r="M88" s="65">
        <v>42109</v>
      </c>
      <c r="N88">
        <v>1200041</v>
      </c>
      <c r="O88">
        <v>5526373</v>
      </c>
    </row>
    <row r="89" spans="1:15">
      <c r="A89" s="29" t="s">
        <v>116</v>
      </c>
      <c r="B89" s="30" t="s">
        <v>443</v>
      </c>
      <c r="C89" s="31" t="s">
        <v>651</v>
      </c>
      <c r="D89" s="30" t="s">
        <v>71</v>
      </c>
      <c r="E89" s="33">
        <v>0.26110833333333333</v>
      </c>
      <c r="F89" s="33">
        <v>0.26110833333333333</v>
      </c>
      <c r="G89" s="33">
        <v>0</v>
      </c>
      <c r="H89" s="17">
        <f t="shared" si="3"/>
        <v>0.16234166666666666</v>
      </c>
      <c r="I89" s="15">
        <f t="shared" si="4"/>
        <v>0.16234166666666666</v>
      </c>
      <c r="J89" s="16">
        <f t="shared" si="5"/>
        <v>0</v>
      </c>
      <c r="K89" s="18" t="s">
        <v>109</v>
      </c>
      <c r="L89" s="19">
        <v>0.61534374999999997</v>
      </c>
      <c r="M89" s="65">
        <v>42113</v>
      </c>
      <c r="N89">
        <v>12059052</v>
      </c>
      <c r="O89">
        <v>10025610</v>
      </c>
    </row>
    <row r="90" spans="1:15">
      <c r="A90" s="21" t="s">
        <v>117</v>
      </c>
      <c r="B90" s="11" t="str">
        <f>VLOOKUP(A90,[1]Scrap!$A$3:$E$4580,3,FALSE)</f>
        <v>80497602AF1</v>
      </c>
      <c r="C90" s="12" t="s">
        <v>652</v>
      </c>
      <c r="D90" s="11" t="s">
        <v>401</v>
      </c>
      <c r="E90" s="14">
        <v>0.6242425774999999</v>
      </c>
      <c r="F90" s="14">
        <v>0.6242425774999999</v>
      </c>
      <c r="G90" s="14">
        <v>0.6242425774999999</v>
      </c>
      <c r="H90" s="17">
        <f t="shared" si="3"/>
        <v>0.6242425774999999</v>
      </c>
      <c r="I90" s="15">
        <f t="shared" si="4"/>
        <v>0</v>
      </c>
      <c r="J90" s="16">
        <f t="shared" si="5"/>
        <v>0</v>
      </c>
      <c r="K90" s="18" t="s">
        <v>110</v>
      </c>
      <c r="L90" s="19">
        <v>0.27171382764227647</v>
      </c>
      <c r="M90" s="65">
        <v>42117</v>
      </c>
      <c r="N90">
        <v>11244318</v>
      </c>
      <c r="O90">
        <v>11324807</v>
      </c>
    </row>
    <row r="91" spans="1:15">
      <c r="A91" s="21" t="s">
        <v>118</v>
      </c>
      <c r="B91" s="11" t="str">
        <f>VLOOKUP(A91,[1]Scrap!$A$3:$E$4580,3,FALSE)</f>
        <v>80497603AF1</v>
      </c>
      <c r="C91" s="12" t="s">
        <v>653</v>
      </c>
      <c r="D91" s="11" t="s">
        <v>401</v>
      </c>
      <c r="E91" s="20">
        <v>0.52960588235294115</v>
      </c>
      <c r="F91" s="20">
        <v>0.52960588235294115</v>
      </c>
      <c r="G91" s="20">
        <v>0.52960588235294115</v>
      </c>
      <c r="H91" s="17">
        <f t="shared" si="3"/>
        <v>0.52960588235294115</v>
      </c>
      <c r="I91" s="15">
        <f t="shared" si="4"/>
        <v>0</v>
      </c>
      <c r="J91" s="16">
        <f t="shared" si="5"/>
        <v>0</v>
      </c>
      <c r="K91" s="18" t="s">
        <v>111</v>
      </c>
      <c r="L91" s="19">
        <v>0.18921874999999999</v>
      </c>
      <c r="M91" s="65">
        <v>42121</v>
      </c>
      <c r="N91">
        <v>11559491</v>
      </c>
      <c r="O91">
        <v>9417695</v>
      </c>
    </row>
    <row r="92" spans="1:15">
      <c r="A92" s="29" t="s">
        <v>119</v>
      </c>
      <c r="B92" s="30" t="s">
        <v>444</v>
      </c>
      <c r="C92" s="31" t="s">
        <v>654</v>
      </c>
      <c r="D92" s="30" t="s">
        <v>71</v>
      </c>
      <c r="E92" s="33">
        <v>0.26110833333333333</v>
      </c>
      <c r="F92" s="33">
        <v>0.26110833333333333</v>
      </c>
      <c r="G92" s="33">
        <v>0</v>
      </c>
      <c r="H92" s="17">
        <f t="shared" si="3"/>
        <v>0</v>
      </c>
      <c r="I92" s="15">
        <f t="shared" si="4"/>
        <v>0</v>
      </c>
      <c r="J92" s="16">
        <f t="shared" si="5"/>
        <v>0</v>
      </c>
      <c r="K92" s="18" t="s">
        <v>113</v>
      </c>
      <c r="L92" s="19">
        <v>0.32804166666666668</v>
      </c>
      <c r="M92" s="65">
        <v>42005</v>
      </c>
      <c r="N92">
        <v>3254417</v>
      </c>
      <c r="O92">
        <v>10312955</v>
      </c>
    </row>
    <row r="93" spans="1:15">
      <c r="A93" s="29" t="s">
        <v>120</v>
      </c>
      <c r="B93" s="30" t="s">
        <v>445</v>
      </c>
      <c r="C93" s="31" t="s">
        <v>655</v>
      </c>
      <c r="D93" s="30" t="s">
        <v>71</v>
      </c>
      <c r="E93" s="33">
        <v>0.26110833333333333</v>
      </c>
      <c r="F93" s="33">
        <v>0.26110833333333333</v>
      </c>
      <c r="G93" s="33">
        <v>0</v>
      </c>
      <c r="H93" s="17">
        <f t="shared" si="3"/>
        <v>0</v>
      </c>
      <c r="I93" s="15">
        <f t="shared" si="4"/>
        <v>0</v>
      </c>
      <c r="J93" s="16">
        <f t="shared" si="5"/>
        <v>0</v>
      </c>
      <c r="K93" s="18" t="s">
        <v>116</v>
      </c>
      <c r="L93" s="19">
        <v>0.16234166666666666</v>
      </c>
      <c r="M93" s="65">
        <v>42009</v>
      </c>
      <c r="N93">
        <v>10482285</v>
      </c>
      <c r="O93">
        <v>7630028</v>
      </c>
    </row>
    <row r="94" spans="1:15">
      <c r="A94" s="10" t="s">
        <v>121</v>
      </c>
      <c r="B94" s="11" t="s">
        <v>446</v>
      </c>
      <c r="C94" s="12" t="s">
        <v>656</v>
      </c>
      <c r="D94" s="11" t="s">
        <v>401</v>
      </c>
      <c r="E94" s="14">
        <v>0.1182</v>
      </c>
      <c r="F94" s="14">
        <v>0.1182</v>
      </c>
      <c r="G94" s="14">
        <v>0.1182</v>
      </c>
      <c r="H94" s="17">
        <f t="shared" si="3"/>
        <v>0.1182</v>
      </c>
      <c r="I94" s="15">
        <f t="shared" si="4"/>
        <v>0</v>
      </c>
      <c r="J94" s="16">
        <f t="shared" si="5"/>
        <v>0</v>
      </c>
      <c r="K94" s="18" t="s">
        <v>122</v>
      </c>
      <c r="L94" s="19">
        <v>0.10009166666666666</v>
      </c>
      <c r="M94" s="65">
        <v>42013</v>
      </c>
      <c r="N94">
        <v>4176409</v>
      </c>
      <c r="O94">
        <v>11664492</v>
      </c>
    </row>
    <row r="95" spans="1:15">
      <c r="A95" s="10" t="s">
        <v>291</v>
      </c>
      <c r="B95" s="11" t="str">
        <f>VLOOKUP(A95,[1]Scrap!$A$3:$E$4580,3,FALSE)</f>
        <v>8X12415EAF1</v>
      </c>
      <c r="C95" s="12" t="s">
        <v>657</v>
      </c>
      <c r="D95" s="11" t="s">
        <v>401</v>
      </c>
      <c r="E95" s="20">
        <v>5.4729166666666669E-2</v>
      </c>
      <c r="F95" s="20">
        <v>5.4729166666666669E-2</v>
      </c>
      <c r="G95" s="20">
        <v>5.4729166666666669E-2</v>
      </c>
      <c r="H95" s="17">
        <f t="shared" si="3"/>
        <v>4.6595374015748051E-2</v>
      </c>
      <c r="I95" s="15">
        <f t="shared" si="4"/>
        <v>-8.1337926509186184E-3</v>
      </c>
      <c r="J95" s="16">
        <f t="shared" si="5"/>
        <v>-0.14861897496920201</v>
      </c>
      <c r="K95" s="27"/>
      <c r="L95" s="27"/>
      <c r="M95" s="65">
        <v>42017</v>
      </c>
      <c r="N95">
        <v>2393003</v>
      </c>
      <c r="O95">
        <v>1882085</v>
      </c>
    </row>
    <row r="96" spans="1:15">
      <c r="A96" s="10" t="s">
        <v>193</v>
      </c>
      <c r="B96" s="11" t="str">
        <f>VLOOKUP(A96,[1]Scrap!$A$3:$E$4580,3,FALSE)</f>
        <v>80842602AF1</v>
      </c>
      <c r="C96" s="12" t="s">
        <v>658</v>
      </c>
      <c r="D96" s="11" t="s">
        <v>401</v>
      </c>
      <c r="E96" s="37">
        <v>0.218</v>
      </c>
      <c r="F96" s="37">
        <v>0.218</v>
      </c>
      <c r="G96" s="37">
        <v>0.218</v>
      </c>
      <c r="H96" s="17">
        <f t="shared" si="3"/>
        <v>0.188083325</v>
      </c>
      <c r="I96" s="15">
        <f t="shared" si="4"/>
        <v>-2.9916675000000004E-2</v>
      </c>
      <c r="J96" s="16">
        <f t="shared" si="5"/>
        <v>-0.13723245412844037</v>
      </c>
      <c r="K96" s="6"/>
      <c r="L96" s="6"/>
      <c r="M96" s="65">
        <v>42021</v>
      </c>
      <c r="N96">
        <v>9494760</v>
      </c>
      <c r="O96">
        <v>10664877</v>
      </c>
    </row>
    <row r="97" spans="1:15">
      <c r="A97" s="10" t="s">
        <v>325</v>
      </c>
      <c r="B97" s="11" t="s">
        <v>533</v>
      </c>
      <c r="C97" s="12" t="s">
        <v>659</v>
      </c>
      <c r="D97" s="11" t="s">
        <v>401</v>
      </c>
      <c r="E97" s="37">
        <v>0</v>
      </c>
      <c r="F97" s="37">
        <v>2.8500000000000001E-2</v>
      </c>
      <c r="G97" s="37">
        <v>2.8500000000000001E-2</v>
      </c>
      <c r="H97" s="17">
        <f t="shared" si="3"/>
        <v>2.4690625000000001E-2</v>
      </c>
      <c r="I97" s="15">
        <f t="shared" si="4"/>
        <v>-3.8093750000000003E-3</v>
      </c>
      <c r="J97" s="16">
        <f t="shared" si="5"/>
        <v>-0.1336622807017544</v>
      </c>
      <c r="K97" s="6"/>
      <c r="L97" s="6"/>
      <c r="M97" s="65">
        <v>42025</v>
      </c>
      <c r="N97">
        <v>3920361</v>
      </c>
      <c r="O97">
        <v>6751412</v>
      </c>
    </row>
    <row r="98" spans="1:15">
      <c r="A98" s="21" t="s">
        <v>125</v>
      </c>
      <c r="B98" s="11" t="str">
        <f>VLOOKUP(A98,[1]Scrap!$A$3:$E$4580,3,FALSE)</f>
        <v>80498801AF1</v>
      </c>
      <c r="C98" s="12" t="s">
        <v>660</v>
      </c>
      <c r="D98" s="11" t="s">
        <v>401</v>
      </c>
      <c r="E98" s="14">
        <v>0.10385909090909093</v>
      </c>
      <c r="F98" s="14">
        <v>0.10385909090909093</v>
      </c>
      <c r="G98" s="14">
        <v>0.10385909090909093</v>
      </c>
      <c r="H98" s="17">
        <f t="shared" si="3"/>
        <v>0.10385909090909093</v>
      </c>
      <c r="I98" s="15">
        <f t="shared" si="4"/>
        <v>0</v>
      </c>
      <c r="J98" s="16">
        <f t="shared" si="5"/>
        <v>0</v>
      </c>
      <c r="K98" s="18" t="s">
        <v>128</v>
      </c>
      <c r="L98" s="19">
        <v>5.0582500000000009E-2</v>
      </c>
      <c r="M98" s="65">
        <v>42029</v>
      </c>
      <c r="N98">
        <v>984465</v>
      </c>
      <c r="O98">
        <v>6797557</v>
      </c>
    </row>
    <row r="99" spans="1:15">
      <c r="A99" s="10" t="s">
        <v>126</v>
      </c>
      <c r="B99" s="11" t="str">
        <f>VLOOKUP(A99,[1]Scrap!$A$3:$E$4580,3,FALSE)</f>
        <v>80498801BF1</v>
      </c>
      <c r="C99" s="12" t="s">
        <v>661</v>
      </c>
      <c r="D99" s="11" t="s">
        <v>401</v>
      </c>
      <c r="E99" s="20">
        <v>5.566666666666667E-2</v>
      </c>
      <c r="F99" s="20">
        <v>5.566666666666667E-2</v>
      </c>
      <c r="G99" s="20">
        <v>5.566666666666667E-2</v>
      </c>
      <c r="H99" s="17">
        <f t="shared" si="3"/>
        <v>5.566666666666667E-2</v>
      </c>
      <c r="I99" s="15">
        <f t="shared" si="4"/>
        <v>0</v>
      </c>
      <c r="J99" s="16">
        <f t="shared" si="5"/>
        <v>0</v>
      </c>
      <c r="K99" s="18" t="s">
        <v>133</v>
      </c>
      <c r="L99" s="19">
        <v>5.0172916666666671E-2</v>
      </c>
      <c r="M99" s="65">
        <v>42033</v>
      </c>
      <c r="N99">
        <v>4904354</v>
      </c>
      <c r="O99">
        <v>9148606</v>
      </c>
    </row>
    <row r="100" spans="1:15">
      <c r="A100" s="10" t="s">
        <v>43</v>
      </c>
      <c r="B100" s="11" t="s">
        <v>413</v>
      </c>
      <c r="C100" s="12" t="s">
        <v>662</v>
      </c>
      <c r="D100" s="23" t="s">
        <v>401</v>
      </c>
      <c r="E100" s="14">
        <v>0.23552499999999998</v>
      </c>
      <c r="F100" s="14">
        <v>0.23552499999999998</v>
      </c>
      <c r="G100" s="14">
        <v>0.23552499999999998</v>
      </c>
      <c r="H100" s="17">
        <f t="shared" si="3"/>
        <v>0.20468749999999999</v>
      </c>
      <c r="I100" s="15">
        <f t="shared" si="4"/>
        <v>-3.083749999999999E-2</v>
      </c>
      <c r="J100" s="16">
        <f t="shared" si="5"/>
        <v>-0.13093089905530195</v>
      </c>
      <c r="K100" s="18" t="s">
        <v>254</v>
      </c>
      <c r="L100" s="19">
        <v>0.58225000000000005</v>
      </c>
      <c r="M100" s="65">
        <v>42037</v>
      </c>
      <c r="N100">
        <v>5914925</v>
      </c>
      <c r="O100">
        <v>2691944</v>
      </c>
    </row>
    <row r="101" spans="1:15">
      <c r="A101" s="21" t="s">
        <v>184</v>
      </c>
      <c r="B101" s="11" t="str">
        <f>VLOOKUP(A101,[1]Scrap!$A$3:$E$4580,3,FALSE)</f>
        <v>80784602CF1</v>
      </c>
      <c r="C101" s="12" t="s">
        <v>663</v>
      </c>
      <c r="D101" s="11" t="s">
        <v>401</v>
      </c>
      <c r="E101" s="20">
        <v>0.18185000000000001</v>
      </c>
      <c r="F101" s="20">
        <v>0.18185000000000001</v>
      </c>
      <c r="G101" s="20">
        <v>0.18185000000000001</v>
      </c>
      <c r="H101" s="17">
        <f t="shared" si="3"/>
        <v>0.1585</v>
      </c>
      <c r="I101" s="15">
        <f t="shared" si="4"/>
        <v>-2.335000000000001E-2</v>
      </c>
      <c r="J101" s="16">
        <f t="shared" si="5"/>
        <v>-0.1284025295573275</v>
      </c>
      <c r="K101" s="6"/>
      <c r="L101" s="6"/>
      <c r="M101" s="65">
        <v>42041</v>
      </c>
      <c r="N101">
        <v>32224</v>
      </c>
      <c r="O101">
        <v>3555536</v>
      </c>
    </row>
    <row r="102" spans="1:15">
      <c r="A102" s="10" t="s">
        <v>129</v>
      </c>
      <c r="B102" s="11" t="s">
        <v>451</v>
      </c>
      <c r="C102" s="12" t="s">
        <v>664</v>
      </c>
      <c r="D102" s="11" t="s">
        <v>71</v>
      </c>
      <c r="E102" s="14">
        <v>0</v>
      </c>
      <c r="F102" s="14">
        <v>0</v>
      </c>
      <c r="G102" s="14">
        <v>0.13500000000000001</v>
      </c>
      <c r="H102" s="17">
        <f t="shared" si="3"/>
        <v>0.13500000000000001</v>
      </c>
      <c r="I102" s="15">
        <f t="shared" si="4"/>
        <v>0</v>
      </c>
      <c r="J102" s="16">
        <f t="shared" si="5"/>
        <v>0</v>
      </c>
      <c r="K102" s="18" t="s">
        <v>137</v>
      </c>
      <c r="L102" s="19">
        <v>0.16852857142857139</v>
      </c>
      <c r="M102" s="65">
        <v>42045</v>
      </c>
      <c r="N102">
        <v>9505736</v>
      </c>
      <c r="O102">
        <v>3372046</v>
      </c>
    </row>
    <row r="103" spans="1:15">
      <c r="A103" s="10" t="s">
        <v>130</v>
      </c>
      <c r="B103" s="11" t="str">
        <f>VLOOKUP(A103,[1]Scrap!$A$3:$E$4580,3,FALSE)</f>
        <v>80498802BF1</v>
      </c>
      <c r="C103" s="12" t="s">
        <v>665</v>
      </c>
      <c r="D103" s="11" t="s">
        <v>401</v>
      </c>
      <c r="E103" s="14">
        <v>0.20122662499999999</v>
      </c>
      <c r="F103" s="14">
        <v>0.20122662499999999</v>
      </c>
      <c r="G103" s="14">
        <v>0.20122662499999999</v>
      </c>
      <c r="H103" s="17">
        <f t="shared" si="3"/>
        <v>0.20122662499999999</v>
      </c>
      <c r="I103" s="15">
        <f t="shared" si="4"/>
        <v>0</v>
      </c>
      <c r="J103" s="16">
        <f t="shared" si="5"/>
        <v>0</v>
      </c>
      <c r="K103" s="18" t="s">
        <v>144</v>
      </c>
      <c r="L103" s="19">
        <v>0.16738125000000001</v>
      </c>
      <c r="M103" s="65">
        <v>42049</v>
      </c>
      <c r="N103">
        <v>4211862</v>
      </c>
      <c r="O103">
        <v>1728948</v>
      </c>
    </row>
    <row r="104" spans="1:15">
      <c r="A104" s="21" t="s">
        <v>131</v>
      </c>
      <c r="B104" s="11" t="str">
        <f>VLOOKUP(A104,[1]Scrap!$A$3:$E$4580,3,FALSE)</f>
        <v>80498803AF1</v>
      </c>
      <c r="C104" s="12" t="s">
        <v>666</v>
      </c>
      <c r="D104" s="11" t="s">
        <v>401</v>
      </c>
      <c r="E104" s="14">
        <v>0.22787500000000002</v>
      </c>
      <c r="F104" s="14">
        <v>0.22787500000000002</v>
      </c>
      <c r="G104" s="14">
        <v>0.22787500000000002</v>
      </c>
      <c r="H104" s="17">
        <f t="shared" si="3"/>
        <v>0.22787500000000002</v>
      </c>
      <c r="I104" s="15">
        <f t="shared" si="4"/>
        <v>0</v>
      </c>
      <c r="J104" s="16">
        <f t="shared" si="5"/>
        <v>0</v>
      </c>
      <c r="K104" s="18" t="s">
        <v>145</v>
      </c>
      <c r="L104" s="19">
        <v>0.18083981481481481</v>
      </c>
      <c r="M104" s="65">
        <v>42053</v>
      </c>
      <c r="N104">
        <v>3032058</v>
      </c>
      <c r="O104">
        <v>8352818</v>
      </c>
    </row>
    <row r="105" spans="1:15">
      <c r="A105" s="10" t="s">
        <v>132</v>
      </c>
      <c r="B105" s="11" t="s">
        <v>452</v>
      </c>
      <c r="C105" s="12" t="s">
        <v>667</v>
      </c>
      <c r="D105" s="11" t="s">
        <v>71</v>
      </c>
      <c r="E105" s="14">
        <v>0.22787500000000002</v>
      </c>
      <c r="F105" s="14">
        <v>0.22787500000000002</v>
      </c>
      <c r="G105" s="14">
        <v>0</v>
      </c>
      <c r="H105" s="17">
        <f t="shared" si="3"/>
        <v>0</v>
      </c>
      <c r="I105" s="15">
        <f t="shared" si="4"/>
        <v>0</v>
      </c>
      <c r="J105" s="16">
        <f t="shared" si="5"/>
        <v>0</v>
      </c>
      <c r="K105" s="18" t="s">
        <v>151</v>
      </c>
      <c r="L105" s="19">
        <v>0.43289801587301613</v>
      </c>
      <c r="M105" s="65">
        <v>42057</v>
      </c>
      <c r="N105">
        <v>2201341</v>
      </c>
      <c r="O105">
        <v>9648223</v>
      </c>
    </row>
    <row r="106" spans="1:15">
      <c r="A106" s="29" t="s">
        <v>133</v>
      </c>
      <c r="B106" s="30" t="s">
        <v>453</v>
      </c>
      <c r="C106" s="31" t="s">
        <v>668</v>
      </c>
      <c r="D106" s="30" t="s">
        <v>71</v>
      </c>
      <c r="E106" s="36">
        <v>0.22787500000000002</v>
      </c>
      <c r="F106" s="36">
        <v>0.22787500000000002</v>
      </c>
      <c r="G106" s="36">
        <v>0</v>
      </c>
      <c r="H106" s="17">
        <f t="shared" si="3"/>
        <v>5.0172916666666671E-2</v>
      </c>
      <c r="I106" s="15">
        <f t="shared" si="4"/>
        <v>5.0172916666666671E-2</v>
      </c>
      <c r="J106" s="16">
        <f t="shared" si="5"/>
        <v>0</v>
      </c>
      <c r="K106" s="18" t="s">
        <v>167</v>
      </c>
      <c r="L106" s="19">
        <v>8.8249999999999995E-2</v>
      </c>
      <c r="M106" s="65">
        <v>42061</v>
      </c>
      <c r="N106">
        <v>3228287</v>
      </c>
      <c r="O106">
        <v>7313924</v>
      </c>
    </row>
    <row r="107" spans="1:15">
      <c r="A107" s="38" t="s">
        <v>134</v>
      </c>
      <c r="B107" s="39" t="s">
        <v>452</v>
      </c>
      <c r="C107" s="40" t="s">
        <v>667</v>
      </c>
      <c r="D107" s="39" t="s">
        <v>71</v>
      </c>
      <c r="E107" s="41">
        <v>0.22787500000000002</v>
      </c>
      <c r="F107" s="41">
        <v>0.22787500000000002</v>
      </c>
      <c r="G107" s="41">
        <v>0</v>
      </c>
      <c r="H107" s="17">
        <f t="shared" si="3"/>
        <v>0</v>
      </c>
      <c r="I107" s="15">
        <f t="shared" si="4"/>
        <v>0</v>
      </c>
      <c r="J107" s="16">
        <f t="shared" si="5"/>
        <v>0</v>
      </c>
      <c r="K107" s="18" t="s">
        <v>169</v>
      </c>
      <c r="L107" s="19">
        <v>0.14006730769230769</v>
      </c>
      <c r="M107" s="65">
        <v>42065</v>
      </c>
      <c r="N107">
        <v>1873773</v>
      </c>
      <c r="O107">
        <v>6766773</v>
      </c>
    </row>
    <row r="108" spans="1:15">
      <c r="A108" s="10" t="s">
        <v>135</v>
      </c>
      <c r="B108" s="11" t="s">
        <v>454</v>
      </c>
      <c r="C108" s="12" t="s">
        <v>669</v>
      </c>
      <c r="D108" s="11" t="s">
        <v>71</v>
      </c>
      <c r="E108" s="14">
        <v>0.22787500000000002</v>
      </c>
      <c r="F108" s="14">
        <v>0.22787500000000002</v>
      </c>
      <c r="G108" s="14">
        <v>0</v>
      </c>
      <c r="H108" s="17">
        <f t="shared" si="3"/>
        <v>0</v>
      </c>
      <c r="I108" s="15">
        <f t="shared" si="4"/>
        <v>0</v>
      </c>
      <c r="J108" s="16">
        <f t="shared" si="5"/>
        <v>0</v>
      </c>
      <c r="K108" s="18" t="s">
        <v>171</v>
      </c>
      <c r="L108" s="19">
        <v>0.23245625</v>
      </c>
      <c r="M108" s="65">
        <v>42069</v>
      </c>
      <c r="N108">
        <v>1465772</v>
      </c>
      <c r="O108">
        <v>3491594</v>
      </c>
    </row>
    <row r="109" spans="1:15">
      <c r="A109" s="29" t="s">
        <v>136</v>
      </c>
      <c r="B109" s="30" t="s">
        <v>455</v>
      </c>
      <c r="C109" s="31" t="s">
        <v>670</v>
      </c>
      <c r="D109" s="30" t="s">
        <v>71</v>
      </c>
      <c r="E109" s="36">
        <v>0.22787500000000002</v>
      </c>
      <c r="F109" s="36">
        <v>0.22787500000000002</v>
      </c>
      <c r="G109" s="36">
        <v>0</v>
      </c>
      <c r="H109" s="17">
        <f t="shared" si="3"/>
        <v>2.8531249999999998E-2</v>
      </c>
      <c r="I109" s="15">
        <f t="shared" si="4"/>
        <v>2.8531249999999998E-2</v>
      </c>
      <c r="J109" s="16">
        <f t="shared" si="5"/>
        <v>0</v>
      </c>
      <c r="K109" s="18" t="s">
        <v>173</v>
      </c>
      <c r="L109" s="19">
        <v>0.22467794117647061</v>
      </c>
      <c r="M109" s="65">
        <v>42073</v>
      </c>
      <c r="N109">
        <v>7440629</v>
      </c>
      <c r="O109">
        <v>5464776</v>
      </c>
    </row>
    <row r="110" spans="1:15">
      <c r="A110" s="21" t="s">
        <v>137</v>
      </c>
      <c r="B110" s="11" t="str">
        <f>VLOOKUP(A110,[1]Scrap!$A$3:$E$4580,3,FALSE)</f>
        <v>80641610HF1</v>
      </c>
      <c r="C110" s="12" t="s">
        <v>671</v>
      </c>
      <c r="D110" s="11" t="s">
        <v>401</v>
      </c>
      <c r="E110" s="20">
        <v>0.16898461538461534</v>
      </c>
      <c r="F110" s="20">
        <v>0.16898461538461534</v>
      </c>
      <c r="G110" s="20">
        <v>0.16898461538461534</v>
      </c>
      <c r="H110" s="17">
        <f t="shared" si="3"/>
        <v>0.16852857142857139</v>
      </c>
      <c r="I110" s="15">
        <f t="shared" si="4"/>
        <v>-4.5604395604395553E-4</v>
      </c>
      <c r="J110" s="16">
        <f t="shared" si="5"/>
        <v>-2.6987306211632479E-3</v>
      </c>
      <c r="K110" s="43" t="s">
        <v>562</v>
      </c>
      <c r="L110" s="19">
        <v>0.12556500000000001</v>
      </c>
      <c r="M110" s="65">
        <v>42077</v>
      </c>
      <c r="N110">
        <v>6883509</v>
      </c>
      <c r="O110">
        <v>3664316</v>
      </c>
    </row>
    <row r="111" spans="1:15">
      <c r="A111" s="21" t="s">
        <v>138</v>
      </c>
      <c r="B111" s="11" t="str">
        <f>VLOOKUP(A111,[1]Scrap!$A$3:$E$4580,3,FALSE)</f>
        <v>80641610JF1</v>
      </c>
      <c r="C111" s="12" t="s">
        <v>672</v>
      </c>
      <c r="D111" s="11" t="s">
        <v>71</v>
      </c>
      <c r="E111" s="20">
        <v>0.16898461538461534</v>
      </c>
      <c r="F111" s="20">
        <v>0.16898461538461534</v>
      </c>
      <c r="G111" s="20">
        <v>0.16500000000000001</v>
      </c>
      <c r="H111" s="17">
        <f t="shared" si="3"/>
        <v>0.16500000000000001</v>
      </c>
      <c r="I111" s="15">
        <f t="shared" si="4"/>
        <v>0</v>
      </c>
      <c r="J111" s="16">
        <f t="shared" si="5"/>
        <v>0</v>
      </c>
      <c r="K111" s="18" t="s">
        <v>177</v>
      </c>
      <c r="L111" s="19">
        <v>0.144625</v>
      </c>
      <c r="M111" s="65">
        <v>42081</v>
      </c>
      <c r="N111">
        <v>3587019</v>
      </c>
      <c r="O111">
        <v>9174854</v>
      </c>
    </row>
    <row r="112" spans="1:15">
      <c r="A112" s="21" t="s">
        <v>139</v>
      </c>
      <c r="B112" s="11" t="str">
        <f>VLOOKUP(A112,[1]Scrap!$A$3:$E$4580,3,FALSE)</f>
        <v>80642006EF1</v>
      </c>
      <c r="C112" s="12" t="s">
        <v>673</v>
      </c>
      <c r="D112" s="11" t="s">
        <v>401</v>
      </c>
      <c r="E112" s="14">
        <v>0.44678728000000001</v>
      </c>
      <c r="F112" s="14">
        <v>0.44678728000000001</v>
      </c>
      <c r="G112" s="14">
        <v>0.44678728000000001</v>
      </c>
      <c r="H112" s="17">
        <f t="shared" si="3"/>
        <v>0.44678728000000001</v>
      </c>
      <c r="I112" s="15">
        <f t="shared" si="4"/>
        <v>0</v>
      </c>
      <c r="J112" s="16">
        <f t="shared" si="5"/>
        <v>0</v>
      </c>
      <c r="K112" s="18" t="s">
        <v>184</v>
      </c>
      <c r="L112" s="19">
        <v>0.1585</v>
      </c>
      <c r="M112" s="65">
        <v>42085</v>
      </c>
      <c r="N112">
        <v>10869563</v>
      </c>
      <c r="O112">
        <v>4150715</v>
      </c>
    </row>
    <row r="113" spans="1:15">
      <c r="A113" s="21" t="s">
        <v>140</v>
      </c>
      <c r="B113" s="11" t="str">
        <f>VLOOKUP(A113,[1]Scrap!$A$3:$E$4580,3,FALSE)</f>
        <v>80642901CF1</v>
      </c>
      <c r="C113" s="12" t="s">
        <v>674</v>
      </c>
      <c r="D113" s="11" t="s">
        <v>401</v>
      </c>
      <c r="E113" s="14">
        <v>0.16075</v>
      </c>
      <c r="F113" s="14">
        <v>0.16075</v>
      </c>
      <c r="G113" s="14">
        <v>0.16075</v>
      </c>
      <c r="H113" s="17">
        <f t="shared" si="3"/>
        <v>0.16075</v>
      </c>
      <c r="I113" s="15">
        <f t="shared" si="4"/>
        <v>0</v>
      </c>
      <c r="J113" s="16">
        <f t="shared" si="5"/>
        <v>0</v>
      </c>
      <c r="K113" s="18" t="s">
        <v>185</v>
      </c>
      <c r="L113" s="19">
        <v>0.15126500000000001</v>
      </c>
      <c r="M113" s="65">
        <v>42089</v>
      </c>
      <c r="N113">
        <v>11048944</v>
      </c>
      <c r="O113">
        <v>4289937</v>
      </c>
    </row>
    <row r="114" spans="1:15">
      <c r="A114" s="21" t="s">
        <v>141</v>
      </c>
      <c r="B114" s="11" t="str">
        <f>VLOOKUP(A114,[1]Scrap!$A$3:$E$4580,3,FALSE)</f>
        <v>80645302AF1</v>
      </c>
      <c r="C114" s="12" t="s">
        <v>675</v>
      </c>
      <c r="D114" s="11" t="s">
        <v>401</v>
      </c>
      <c r="E114" s="14">
        <v>0.10680000000000001</v>
      </c>
      <c r="F114" s="14">
        <v>0.10680000000000001</v>
      </c>
      <c r="G114" s="14">
        <v>0.10680000000000001</v>
      </c>
      <c r="H114" s="17">
        <f t="shared" si="3"/>
        <v>0.10680000000000001</v>
      </c>
      <c r="I114" s="15">
        <f t="shared" si="4"/>
        <v>0</v>
      </c>
      <c r="J114" s="16">
        <f t="shared" si="5"/>
        <v>0</v>
      </c>
      <c r="K114" s="18" t="s">
        <v>187</v>
      </c>
      <c r="L114" s="19">
        <v>0.12852222222222226</v>
      </c>
      <c r="M114" s="65">
        <v>42093</v>
      </c>
      <c r="N114">
        <v>2621814</v>
      </c>
      <c r="O114">
        <v>11559120</v>
      </c>
    </row>
    <row r="115" spans="1:15">
      <c r="A115" s="21" t="s">
        <v>142</v>
      </c>
      <c r="B115" s="11" t="str">
        <f>VLOOKUP(A115,[1]Scrap!$A$3:$E$4580,3,FALSE)</f>
        <v>80690801CF1</v>
      </c>
      <c r="C115" s="12" t="s">
        <v>676</v>
      </c>
      <c r="D115" s="11" t="s">
        <v>401</v>
      </c>
      <c r="E115" s="14">
        <v>0.28323907999999998</v>
      </c>
      <c r="F115" s="14">
        <v>0.28323907999999998</v>
      </c>
      <c r="G115" s="14">
        <v>0.28323907999999998</v>
      </c>
      <c r="H115" s="17">
        <f t="shared" si="3"/>
        <v>0.28323907999999998</v>
      </c>
      <c r="I115" s="15">
        <f t="shared" si="4"/>
        <v>0</v>
      </c>
      <c r="J115" s="16">
        <f t="shared" si="5"/>
        <v>0</v>
      </c>
      <c r="K115" s="18" t="s">
        <v>193</v>
      </c>
      <c r="L115" s="19">
        <v>0.188083325</v>
      </c>
      <c r="M115" s="65">
        <v>42097</v>
      </c>
      <c r="N115">
        <v>2615572</v>
      </c>
      <c r="O115">
        <v>5945822</v>
      </c>
    </row>
    <row r="116" spans="1:15">
      <c r="A116" s="21" t="s">
        <v>143</v>
      </c>
      <c r="B116" s="11" t="str">
        <f>VLOOKUP(A116,[1]Scrap!$A$3:$E$4580,3,FALSE)</f>
        <v>80720105EF1</v>
      </c>
      <c r="C116" s="12" t="s">
        <v>677</v>
      </c>
      <c r="D116" s="11" t="s">
        <v>401</v>
      </c>
      <c r="E116" s="14">
        <v>1.2387125999999999</v>
      </c>
      <c r="F116" s="14">
        <v>1.2387125999999999</v>
      </c>
      <c r="G116" s="14">
        <v>1.2387125999999999</v>
      </c>
      <c r="H116" s="17">
        <f t="shared" si="3"/>
        <v>1.2387125999999999</v>
      </c>
      <c r="I116" s="15">
        <f t="shared" si="4"/>
        <v>0</v>
      </c>
      <c r="J116" s="16">
        <f t="shared" si="5"/>
        <v>0</v>
      </c>
      <c r="K116" s="44" t="s">
        <v>198</v>
      </c>
      <c r="L116" s="45">
        <v>0.19124999999999998</v>
      </c>
      <c r="M116" s="65">
        <v>42101</v>
      </c>
      <c r="N116">
        <v>8167241</v>
      </c>
      <c r="O116">
        <v>9084970</v>
      </c>
    </row>
    <row r="117" spans="1:15">
      <c r="A117" s="21" t="s">
        <v>211</v>
      </c>
      <c r="B117" s="11" t="str">
        <f>VLOOKUP(A117,[1]Scrap!$A$3:$E$4580,3,FALSE)</f>
        <v>81090402AF1</v>
      </c>
      <c r="C117" s="12" t="s">
        <v>678</v>
      </c>
      <c r="D117" s="11" t="s">
        <v>401</v>
      </c>
      <c r="E117" s="20">
        <v>0.32729999999999998</v>
      </c>
      <c r="F117" s="20">
        <v>0.32729999999999998</v>
      </c>
      <c r="G117" s="20">
        <v>0.32729999999999998</v>
      </c>
      <c r="H117" s="17">
        <f t="shared" si="3"/>
        <v>0.28752499999999998</v>
      </c>
      <c r="I117" s="15">
        <f t="shared" si="4"/>
        <v>-3.9775000000000005E-2</v>
      </c>
      <c r="J117" s="16">
        <f t="shared" si="5"/>
        <v>-0.12152459517262452</v>
      </c>
      <c r="K117" s="6"/>
      <c r="L117" s="6"/>
      <c r="M117" s="65">
        <v>42105</v>
      </c>
      <c r="N117">
        <v>11777447</v>
      </c>
      <c r="O117">
        <v>11024157</v>
      </c>
    </row>
    <row r="118" spans="1:15">
      <c r="A118" s="10" t="s">
        <v>327</v>
      </c>
      <c r="B118" s="11" t="str">
        <f>VLOOKUP(A118,[1]Scrap!$A$3:$E$4580,3,FALSE)</f>
        <v>8X13705BAF1</v>
      </c>
      <c r="C118" s="12" t="s">
        <v>679</v>
      </c>
      <c r="D118" s="11" t="s">
        <v>401</v>
      </c>
      <c r="E118" s="20">
        <v>9.6958620689655134E-2</v>
      </c>
      <c r="F118" s="20">
        <v>0.112</v>
      </c>
      <c r="G118" s="20">
        <v>0.112</v>
      </c>
      <c r="H118" s="17">
        <f t="shared" si="3"/>
        <v>9.8549999999999999E-2</v>
      </c>
      <c r="I118" s="15">
        <f t="shared" si="4"/>
        <v>-1.3450000000000004E-2</v>
      </c>
      <c r="J118" s="16">
        <f t="shared" si="5"/>
        <v>-0.12008928571428575</v>
      </c>
      <c r="K118" s="6"/>
      <c r="L118" s="6"/>
      <c r="M118" s="65">
        <v>42109</v>
      </c>
      <c r="N118">
        <v>9524847</v>
      </c>
      <c r="O118">
        <v>418966</v>
      </c>
    </row>
    <row r="119" spans="1:15">
      <c r="A119" s="10" t="s">
        <v>146</v>
      </c>
      <c r="B119" s="11" t="str">
        <f>VLOOKUP(A119,[1]Scrap!$A$3:$E$4580,3,FALSE)</f>
        <v>80722903HF1</v>
      </c>
      <c r="C119" s="12" t="s">
        <v>680</v>
      </c>
      <c r="D119" s="11" t="s">
        <v>71</v>
      </c>
      <c r="E119" s="14">
        <v>0</v>
      </c>
      <c r="F119" s="14">
        <v>0</v>
      </c>
      <c r="G119" s="14">
        <v>5.1999999999999998E-2</v>
      </c>
      <c r="H119" s="17">
        <f t="shared" si="3"/>
        <v>5.1999999999999998E-2</v>
      </c>
      <c r="I119" s="15">
        <f t="shared" si="4"/>
        <v>0</v>
      </c>
      <c r="J119" s="16">
        <f t="shared" si="5"/>
        <v>0</v>
      </c>
      <c r="K119" s="28"/>
      <c r="L119" s="28"/>
      <c r="M119" s="65">
        <v>42113</v>
      </c>
      <c r="N119">
        <v>8701575</v>
      </c>
      <c r="O119">
        <v>196430</v>
      </c>
    </row>
    <row r="120" spans="1:15">
      <c r="A120" s="10" t="s">
        <v>147</v>
      </c>
      <c r="B120" s="11" t="s">
        <v>456</v>
      </c>
      <c r="C120" s="12" t="s">
        <v>681</v>
      </c>
      <c r="D120" s="11" t="s">
        <v>401</v>
      </c>
      <c r="E120" s="14">
        <v>7.4575000000000002E-2</v>
      </c>
      <c r="F120" s="14">
        <v>7.4575000000000002E-2</v>
      </c>
      <c r="G120" s="14">
        <v>7.4575000000000002E-2</v>
      </c>
      <c r="H120" s="17">
        <f t="shared" si="3"/>
        <v>7.4575000000000002E-2</v>
      </c>
      <c r="I120" s="15">
        <f t="shared" si="4"/>
        <v>0</v>
      </c>
      <c r="J120" s="16">
        <f t="shared" si="5"/>
        <v>0</v>
      </c>
      <c r="K120" s="9"/>
      <c r="L120" s="9"/>
      <c r="M120" s="65">
        <v>42117</v>
      </c>
      <c r="N120">
        <v>4824767</v>
      </c>
      <c r="O120">
        <v>9393132</v>
      </c>
    </row>
    <row r="121" spans="1:15">
      <c r="A121" s="10" t="s">
        <v>148</v>
      </c>
      <c r="B121" s="11" t="s">
        <v>457</v>
      </c>
      <c r="C121" s="12" t="s">
        <v>682</v>
      </c>
      <c r="D121" s="11" t="s">
        <v>71</v>
      </c>
      <c r="E121" s="14">
        <v>7.4575000000000002E-2</v>
      </c>
      <c r="F121" s="14">
        <v>0</v>
      </c>
      <c r="G121" s="14">
        <v>0.17699999999999999</v>
      </c>
      <c r="H121" s="17">
        <f t="shared" si="3"/>
        <v>0.17699999999999999</v>
      </c>
      <c r="I121" s="15">
        <f t="shared" si="4"/>
        <v>0</v>
      </c>
      <c r="J121" s="16">
        <f t="shared" si="5"/>
        <v>0</v>
      </c>
      <c r="K121" s="9"/>
      <c r="L121" s="9"/>
      <c r="M121" s="65">
        <v>42121</v>
      </c>
      <c r="N121">
        <v>9062011</v>
      </c>
      <c r="O121">
        <v>2581430</v>
      </c>
    </row>
    <row r="122" spans="1:15">
      <c r="A122" s="10" t="s">
        <v>149</v>
      </c>
      <c r="B122" s="11" t="s">
        <v>458</v>
      </c>
      <c r="C122" s="12" t="s">
        <v>683</v>
      </c>
      <c r="D122" s="11" t="s">
        <v>71</v>
      </c>
      <c r="E122" s="14">
        <v>7.4575000000000002E-2</v>
      </c>
      <c r="F122" s="14">
        <v>0</v>
      </c>
      <c r="G122" s="14">
        <v>0.18990000000000001</v>
      </c>
      <c r="H122" s="17">
        <f t="shared" si="3"/>
        <v>0.18990000000000001</v>
      </c>
      <c r="I122" s="15">
        <f t="shared" si="4"/>
        <v>0</v>
      </c>
      <c r="J122" s="16">
        <f t="shared" si="5"/>
        <v>0</v>
      </c>
      <c r="K122" s="9"/>
      <c r="L122" s="9"/>
      <c r="M122" s="65">
        <v>42005</v>
      </c>
      <c r="N122">
        <v>5165882</v>
      </c>
      <c r="O122">
        <v>5033664</v>
      </c>
    </row>
    <row r="123" spans="1:15">
      <c r="A123" s="10" t="s">
        <v>150</v>
      </c>
      <c r="B123" s="11" t="str">
        <f>VLOOKUP(A123,[1]Scrap!$A$3:$E$4580,3,FALSE)</f>
        <v>80723003DF1</v>
      </c>
      <c r="C123" s="12" t="s">
        <v>684</v>
      </c>
      <c r="D123" s="11" t="s">
        <v>401</v>
      </c>
      <c r="E123" s="14">
        <v>0.50435049019607858</v>
      </c>
      <c r="F123" s="14">
        <v>0.50435049019607858</v>
      </c>
      <c r="G123" s="14">
        <v>0.50435049019607858</v>
      </c>
      <c r="H123" s="17">
        <f t="shared" si="3"/>
        <v>0.50435049019607858</v>
      </c>
      <c r="I123" s="15">
        <f t="shared" si="4"/>
        <v>0</v>
      </c>
      <c r="J123" s="16">
        <f t="shared" si="5"/>
        <v>0</v>
      </c>
      <c r="K123" s="9"/>
      <c r="L123" s="9"/>
      <c r="M123" s="65">
        <v>42009</v>
      </c>
      <c r="N123">
        <v>1146206</v>
      </c>
      <c r="O123">
        <v>9249811</v>
      </c>
    </row>
    <row r="124" spans="1:15">
      <c r="A124" s="10" t="s">
        <v>2</v>
      </c>
      <c r="B124" s="11" t="str">
        <f>VLOOKUP(A124,[1]Scrap!$A$3:$E$4580,3,FALSE)</f>
        <v>8X12413AAF1</v>
      </c>
      <c r="C124" s="12" t="s">
        <v>685</v>
      </c>
      <c r="D124" s="11" t="s">
        <v>401</v>
      </c>
      <c r="E124" s="14">
        <v>9.3799999999999994E-2</v>
      </c>
      <c r="F124" s="14">
        <v>9.3799999999999994E-2</v>
      </c>
      <c r="G124" s="14">
        <v>9.3799999999999994E-2</v>
      </c>
      <c r="H124" s="17">
        <f t="shared" si="3"/>
        <v>8.3693055555555562E-2</v>
      </c>
      <c r="I124" s="15">
        <f t="shared" si="4"/>
        <v>-1.0106944444444432E-2</v>
      </c>
      <c r="J124" s="16">
        <f t="shared" si="5"/>
        <v>-0.1077499407723287</v>
      </c>
      <c r="K124" s="6"/>
      <c r="L124" s="6"/>
      <c r="M124" s="65">
        <v>42013</v>
      </c>
      <c r="N124">
        <v>5826338</v>
      </c>
      <c r="O124">
        <v>8669416</v>
      </c>
    </row>
    <row r="125" spans="1:15">
      <c r="A125" s="10" t="s">
        <v>152</v>
      </c>
      <c r="B125" s="11" t="str">
        <f>VLOOKUP(A125,[1]Scrap!$A$3:$E$4580,3,FALSE)</f>
        <v>80723003FF1</v>
      </c>
      <c r="C125" s="12" t="s">
        <v>686</v>
      </c>
      <c r="D125" s="11" t="s">
        <v>71</v>
      </c>
      <c r="E125" s="14">
        <v>0</v>
      </c>
      <c r="F125" s="14">
        <v>0</v>
      </c>
      <c r="G125" s="14">
        <v>0.52</v>
      </c>
      <c r="H125" s="17">
        <f t="shared" si="3"/>
        <v>0.52</v>
      </c>
      <c r="I125" s="15">
        <f t="shared" si="4"/>
        <v>0</v>
      </c>
      <c r="J125" s="16">
        <f t="shared" si="5"/>
        <v>0</v>
      </c>
      <c r="K125" s="9"/>
      <c r="L125" s="9"/>
      <c r="M125" s="65">
        <v>42017</v>
      </c>
      <c r="N125">
        <v>2391335</v>
      </c>
      <c r="O125">
        <v>265947</v>
      </c>
    </row>
    <row r="126" spans="1:15">
      <c r="A126" s="10" t="s">
        <v>153</v>
      </c>
      <c r="B126" s="11" t="str">
        <f>VLOOKUP(A126,[1]Scrap!$A$3:$E$4580,3,FALSE)</f>
        <v>80723003GF1</v>
      </c>
      <c r="C126" s="12" t="s">
        <v>687</v>
      </c>
      <c r="D126" s="11" t="s">
        <v>401</v>
      </c>
      <c r="E126" s="14">
        <v>0.26569000000000004</v>
      </c>
      <c r="F126" s="14">
        <v>0.26569000000000004</v>
      </c>
      <c r="G126" s="14">
        <v>0.26569000000000004</v>
      </c>
      <c r="H126" s="17">
        <f t="shared" si="3"/>
        <v>0.26569000000000004</v>
      </c>
      <c r="I126" s="15">
        <f t="shared" si="4"/>
        <v>0</v>
      </c>
      <c r="J126" s="16">
        <f t="shared" si="5"/>
        <v>0</v>
      </c>
      <c r="K126" s="9"/>
      <c r="L126" s="9"/>
      <c r="M126" s="65">
        <v>42021</v>
      </c>
      <c r="N126">
        <v>3946340</v>
      </c>
      <c r="O126">
        <v>3959356</v>
      </c>
    </row>
    <row r="127" spans="1:15">
      <c r="A127" s="10" t="s">
        <v>154</v>
      </c>
      <c r="B127" s="11" t="str">
        <f>VLOOKUP(A127,[1]Scrap!$A$3:$E$4580,3,FALSE)</f>
        <v>80723003IF1</v>
      </c>
      <c r="C127" s="12" t="s">
        <v>688</v>
      </c>
      <c r="D127" s="11" t="s">
        <v>71</v>
      </c>
      <c r="E127" s="14">
        <v>0</v>
      </c>
      <c r="F127" s="14">
        <v>0</v>
      </c>
      <c r="G127" s="14">
        <v>0.24299999999999999</v>
      </c>
      <c r="H127" s="17">
        <f t="shared" si="3"/>
        <v>0.24299999999999999</v>
      </c>
      <c r="I127" s="15">
        <f t="shared" si="4"/>
        <v>0</v>
      </c>
      <c r="J127" s="16">
        <f t="shared" si="5"/>
        <v>0</v>
      </c>
      <c r="K127" s="9"/>
      <c r="L127" s="9"/>
      <c r="M127" s="65">
        <v>42025</v>
      </c>
      <c r="N127">
        <v>3283764</v>
      </c>
      <c r="O127">
        <v>3856974</v>
      </c>
    </row>
    <row r="128" spans="1:15">
      <c r="A128" s="10" t="s">
        <v>155</v>
      </c>
      <c r="B128" s="11" t="s">
        <v>459</v>
      </c>
      <c r="C128" s="12" t="s">
        <v>689</v>
      </c>
      <c r="D128" s="11" t="s">
        <v>401</v>
      </c>
      <c r="E128" s="14">
        <v>0.181475</v>
      </c>
      <c r="F128" s="14">
        <v>0.181475</v>
      </c>
      <c r="G128" s="14">
        <v>0.181475</v>
      </c>
      <c r="H128" s="17">
        <f t="shared" si="3"/>
        <v>0.181475</v>
      </c>
      <c r="I128" s="15">
        <f t="shared" si="4"/>
        <v>0</v>
      </c>
      <c r="J128" s="16">
        <f t="shared" si="5"/>
        <v>0</v>
      </c>
      <c r="K128" s="9"/>
      <c r="L128" s="9"/>
      <c r="M128" s="65">
        <v>42029</v>
      </c>
      <c r="N128">
        <v>7290185</v>
      </c>
      <c r="O128">
        <v>8050518</v>
      </c>
    </row>
    <row r="129" spans="1:15">
      <c r="A129" s="10" t="s">
        <v>156</v>
      </c>
      <c r="B129" s="11" t="s">
        <v>460</v>
      </c>
      <c r="C129" s="12" t="s">
        <v>690</v>
      </c>
      <c r="D129" s="11" t="s">
        <v>71</v>
      </c>
      <c r="E129" s="14">
        <v>0</v>
      </c>
      <c r="F129" s="14">
        <v>0</v>
      </c>
      <c r="G129" s="14">
        <v>0.52</v>
      </c>
      <c r="H129" s="17">
        <f t="shared" si="3"/>
        <v>0.52</v>
      </c>
      <c r="I129" s="15">
        <f t="shared" si="4"/>
        <v>0</v>
      </c>
      <c r="J129" s="16">
        <f t="shared" si="5"/>
        <v>0</v>
      </c>
      <c r="K129" s="9"/>
      <c r="L129" s="9"/>
      <c r="M129" s="65">
        <v>42033</v>
      </c>
      <c r="N129">
        <v>5474168</v>
      </c>
      <c r="O129">
        <v>6125732</v>
      </c>
    </row>
    <row r="130" spans="1:15">
      <c r="A130" s="10" t="s">
        <v>157</v>
      </c>
      <c r="B130" s="11" t="s">
        <v>461</v>
      </c>
      <c r="C130" s="12" t="s">
        <v>691</v>
      </c>
      <c r="D130" s="11" t="s">
        <v>71</v>
      </c>
      <c r="E130" s="14">
        <v>0</v>
      </c>
      <c r="F130" s="14">
        <v>0</v>
      </c>
      <c r="G130" s="14">
        <v>0.45900000000000002</v>
      </c>
      <c r="H130" s="17">
        <f t="shared" ref="H130:H193" si="6">IFERROR(INDEX($K$2:$L$116,MATCH($A130,$K$2:$K$116,0),2),G130)</f>
        <v>0.45900000000000002</v>
      </c>
      <c r="I130" s="15">
        <f t="shared" ref="I130:I193" si="7">H130-G130</f>
        <v>0</v>
      </c>
      <c r="J130" s="16">
        <f t="shared" ref="J130:J193" si="8">IF(G130&lt;&gt;0,I130/G130,)</f>
        <v>0</v>
      </c>
      <c r="K130" s="9"/>
      <c r="L130" s="9"/>
      <c r="M130" s="65">
        <v>42037</v>
      </c>
      <c r="N130">
        <v>4304489</v>
      </c>
      <c r="O130">
        <v>5184208</v>
      </c>
    </row>
    <row r="131" spans="1:15">
      <c r="A131" s="10" t="s">
        <v>158</v>
      </c>
      <c r="B131" s="11" t="s">
        <v>462</v>
      </c>
      <c r="C131" s="12" t="s">
        <v>692</v>
      </c>
      <c r="D131" s="11" t="s">
        <v>71</v>
      </c>
      <c r="E131" s="14">
        <v>0</v>
      </c>
      <c r="F131" s="14">
        <v>0</v>
      </c>
      <c r="G131" s="14">
        <v>0.94030000000000002</v>
      </c>
      <c r="H131" s="17">
        <f t="shared" si="6"/>
        <v>0.94030000000000002</v>
      </c>
      <c r="I131" s="15">
        <f t="shared" si="7"/>
        <v>0</v>
      </c>
      <c r="J131" s="16">
        <f t="shared" si="8"/>
        <v>0</v>
      </c>
      <c r="K131" s="9"/>
      <c r="L131" s="9"/>
      <c r="M131" s="65">
        <v>42041</v>
      </c>
      <c r="N131">
        <v>805939</v>
      </c>
      <c r="O131">
        <v>10868358</v>
      </c>
    </row>
    <row r="132" spans="1:15">
      <c r="A132" s="10" t="s">
        <v>159</v>
      </c>
      <c r="B132" s="11" t="s">
        <v>463</v>
      </c>
      <c r="C132" s="12" t="s">
        <v>693</v>
      </c>
      <c r="D132" s="11" t="s">
        <v>401</v>
      </c>
      <c r="E132" s="14">
        <v>0</v>
      </c>
      <c r="F132" s="14">
        <v>0.44979999999999998</v>
      </c>
      <c r="G132" s="14">
        <v>0.44979999999999998</v>
      </c>
      <c r="H132" s="17">
        <f t="shared" si="6"/>
        <v>0.44979999999999998</v>
      </c>
      <c r="I132" s="15">
        <f t="shared" si="7"/>
        <v>0</v>
      </c>
      <c r="J132" s="16">
        <f t="shared" si="8"/>
        <v>0</v>
      </c>
      <c r="K132" s="9"/>
      <c r="L132" s="9"/>
      <c r="M132" s="65">
        <v>42045</v>
      </c>
      <c r="N132">
        <v>6762438</v>
      </c>
      <c r="O132">
        <v>3601812</v>
      </c>
    </row>
    <row r="133" spans="1:15">
      <c r="A133" s="10" t="s">
        <v>160</v>
      </c>
      <c r="B133" s="11" t="s">
        <v>464</v>
      </c>
      <c r="C133" s="12" t="s">
        <v>694</v>
      </c>
      <c r="D133" s="11" t="s">
        <v>71</v>
      </c>
      <c r="E133" s="14">
        <v>0</v>
      </c>
      <c r="F133" s="14">
        <v>0</v>
      </c>
      <c r="G133" s="14">
        <v>0.48859999999999998</v>
      </c>
      <c r="H133" s="17">
        <f t="shared" si="6"/>
        <v>0.48859999999999998</v>
      </c>
      <c r="I133" s="15">
        <f t="shared" si="7"/>
        <v>0</v>
      </c>
      <c r="J133" s="16">
        <f t="shared" si="8"/>
        <v>0</v>
      </c>
      <c r="K133" s="9"/>
      <c r="L133" s="9"/>
      <c r="M133" s="65">
        <v>42049</v>
      </c>
      <c r="N133">
        <v>2226498</v>
      </c>
      <c r="O133">
        <v>11818561</v>
      </c>
    </row>
    <row r="134" spans="1:15">
      <c r="A134" s="10" t="s">
        <v>161</v>
      </c>
      <c r="B134" s="11" t="s">
        <v>461</v>
      </c>
      <c r="C134" s="12" t="s">
        <v>695</v>
      </c>
      <c r="D134" s="11" t="s">
        <v>71</v>
      </c>
      <c r="E134" s="14">
        <v>0</v>
      </c>
      <c r="F134" s="14">
        <v>0</v>
      </c>
      <c r="G134" s="14">
        <v>0.49099999999999999</v>
      </c>
      <c r="H134" s="17">
        <f t="shared" si="6"/>
        <v>0.49099999999999999</v>
      </c>
      <c r="I134" s="15">
        <f t="shared" si="7"/>
        <v>0</v>
      </c>
      <c r="J134" s="16">
        <f t="shared" si="8"/>
        <v>0</v>
      </c>
      <c r="K134" s="9"/>
      <c r="L134" s="9"/>
      <c r="M134" s="65">
        <v>42053</v>
      </c>
      <c r="N134">
        <v>5067649</v>
      </c>
      <c r="O134">
        <v>3714444</v>
      </c>
    </row>
    <row r="135" spans="1:15">
      <c r="A135" s="10" t="s">
        <v>162</v>
      </c>
      <c r="B135" s="11" t="str">
        <f>VLOOKUP(A135,[1]Scrap!$A$3:$E$4580,3,FALSE)</f>
        <v>80723201AF1</v>
      </c>
      <c r="C135" s="12" t="s">
        <v>696</v>
      </c>
      <c r="D135" s="11" t="s">
        <v>401</v>
      </c>
      <c r="E135" s="37">
        <v>0.108</v>
      </c>
      <c r="F135" s="37">
        <v>0.108</v>
      </c>
      <c r="G135" s="37">
        <v>0.108</v>
      </c>
      <c r="H135" s="17">
        <f t="shared" si="6"/>
        <v>0.108</v>
      </c>
      <c r="I135" s="15">
        <f t="shared" si="7"/>
        <v>0</v>
      </c>
      <c r="J135" s="16">
        <f t="shared" si="8"/>
        <v>0</v>
      </c>
      <c r="K135" s="9"/>
      <c r="L135" s="9"/>
      <c r="M135" s="65">
        <v>42057</v>
      </c>
      <c r="N135">
        <v>8661796</v>
      </c>
      <c r="O135">
        <v>7814200</v>
      </c>
    </row>
    <row r="136" spans="1:15">
      <c r="A136" s="10" t="s">
        <v>163</v>
      </c>
      <c r="B136" s="11" t="s">
        <v>465</v>
      </c>
      <c r="C136" s="12" t="s">
        <v>697</v>
      </c>
      <c r="D136" s="11" t="s">
        <v>401</v>
      </c>
      <c r="E136" s="37">
        <v>0.108</v>
      </c>
      <c r="F136" s="37">
        <v>0.10100000000000001</v>
      </c>
      <c r="G136" s="37">
        <v>0.10100000000000001</v>
      </c>
      <c r="H136" s="17">
        <f t="shared" si="6"/>
        <v>0.10100000000000001</v>
      </c>
      <c r="I136" s="15">
        <f t="shared" si="7"/>
        <v>0</v>
      </c>
      <c r="J136" s="16">
        <f t="shared" si="8"/>
        <v>0</v>
      </c>
      <c r="K136" s="9"/>
      <c r="L136" s="9"/>
      <c r="M136" s="65">
        <v>42061</v>
      </c>
      <c r="N136">
        <v>7787968</v>
      </c>
      <c r="O136">
        <v>6297157</v>
      </c>
    </row>
    <row r="137" spans="1:15">
      <c r="A137" s="10" t="s">
        <v>164</v>
      </c>
      <c r="B137" s="11" t="s">
        <v>466</v>
      </c>
      <c r="C137" s="12" t="s">
        <v>698</v>
      </c>
      <c r="D137" s="11" t="s">
        <v>71</v>
      </c>
      <c r="E137" s="37">
        <v>0</v>
      </c>
      <c r="F137" s="37">
        <v>0</v>
      </c>
      <c r="G137" s="37">
        <v>0.1019375</v>
      </c>
      <c r="H137" s="17">
        <f t="shared" si="6"/>
        <v>0.1019375</v>
      </c>
      <c r="I137" s="15">
        <f t="shared" si="7"/>
        <v>0</v>
      </c>
      <c r="J137" s="16">
        <f t="shared" si="8"/>
        <v>0</v>
      </c>
      <c r="K137" s="9"/>
      <c r="L137" s="9"/>
      <c r="M137" s="65">
        <v>42065</v>
      </c>
      <c r="N137">
        <v>1559834</v>
      </c>
      <c r="O137">
        <v>6434829</v>
      </c>
    </row>
    <row r="138" spans="1:15">
      <c r="A138" s="10" t="s">
        <v>165</v>
      </c>
      <c r="B138" s="11" t="s">
        <v>467</v>
      </c>
      <c r="C138" s="12" t="s">
        <v>699</v>
      </c>
      <c r="D138" s="11" t="s">
        <v>71</v>
      </c>
      <c r="E138" s="37">
        <v>0</v>
      </c>
      <c r="F138" s="37">
        <v>0</v>
      </c>
      <c r="G138" s="37">
        <v>0.10664999999999999</v>
      </c>
      <c r="H138" s="17">
        <f t="shared" si="6"/>
        <v>0.10664999999999999</v>
      </c>
      <c r="I138" s="15">
        <f t="shared" si="7"/>
        <v>0</v>
      </c>
      <c r="J138" s="16">
        <f t="shared" si="8"/>
        <v>0</v>
      </c>
      <c r="K138" s="9"/>
      <c r="L138" s="9"/>
      <c r="M138" s="65">
        <v>42069</v>
      </c>
      <c r="N138">
        <v>10811554</v>
      </c>
      <c r="O138">
        <v>8403836</v>
      </c>
    </row>
    <row r="139" spans="1:15">
      <c r="A139" s="10" t="s">
        <v>166</v>
      </c>
      <c r="B139" s="11" t="s">
        <v>468</v>
      </c>
      <c r="C139" s="12" t="s">
        <v>700</v>
      </c>
      <c r="D139" s="11" t="s">
        <v>71</v>
      </c>
      <c r="E139" s="37">
        <v>0</v>
      </c>
      <c r="F139" s="37">
        <v>0</v>
      </c>
      <c r="G139" s="37">
        <v>0.03</v>
      </c>
      <c r="H139" s="17">
        <f t="shared" si="6"/>
        <v>0.03</v>
      </c>
      <c r="I139" s="15">
        <f t="shared" si="7"/>
        <v>0</v>
      </c>
      <c r="J139" s="16">
        <f t="shared" si="8"/>
        <v>0</v>
      </c>
      <c r="K139" s="9"/>
      <c r="L139" s="9"/>
      <c r="M139" s="65">
        <v>42073</v>
      </c>
      <c r="N139">
        <v>7239547</v>
      </c>
      <c r="O139">
        <v>4751494</v>
      </c>
    </row>
    <row r="140" spans="1:15">
      <c r="A140" s="10" t="s">
        <v>167</v>
      </c>
      <c r="B140" s="11" t="s">
        <v>469</v>
      </c>
      <c r="C140" s="12" t="s">
        <v>701</v>
      </c>
      <c r="D140" s="11" t="s">
        <v>71</v>
      </c>
      <c r="E140" s="37">
        <v>0</v>
      </c>
      <c r="F140" s="37">
        <v>0</v>
      </c>
      <c r="G140" s="37">
        <v>0</v>
      </c>
      <c r="H140" s="17">
        <f t="shared" si="6"/>
        <v>8.8249999999999995E-2</v>
      </c>
      <c r="I140" s="15">
        <f t="shared" si="7"/>
        <v>8.8249999999999995E-2</v>
      </c>
      <c r="J140" s="16">
        <f t="shared" si="8"/>
        <v>0</v>
      </c>
      <c r="K140" s="9"/>
      <c r="L140" s="9"/>
      <c r="M140" s="65">
        <v>42077</v>
      </c>
      <c r="N140">
        <v>3382714</v>
      </c>
      <c r="O140">
        <v>12185890</v>
      </c>
    </row>
    <row r="141" spans="1:15">
      <c r="A141" s="21" t="s">
        <v>168</v>
      </c>
      <c r="B141" s="11" t="str">
        <f>VLOOKUP(A141,[1]Scrap!$A$3:$E$4580,3,FALSE)</f>
        <v>80781204BF1</v>
      </c>
      <c r="C141" s="12" t="s">
        <v>702</v>
      </c>
      <c r="D141" s="11" t="s">
        <v>401</v>
      </c>
      <c r="E141" s="14">
        <v>0.24374999999999999</v>
      </c>
      <c r="F141" s="14">
        <v>0.24374999999999999</v>
      </c>
      <c r="G141" s="14">
        <v>0.24374999999999999</v>
      </c>
      <c r="H141" s="17">
        <f t="shared" si="6"/>
        <v>0.24374999999999999</v>
      </c>
      <c r="I141" s="15">
        <f t="shared" si="7"/>
        <v>0</v>
      </c>
      <c r="J141" s="16">
        <f t="shared" si="8"/>
        <v>0</v>
      </c>
      <c r="K141" s="9"/>
      <c r="L141" s="9"/>
      <c r="M141" s="65">
        <v>42081</v>
      </c>
      <c r="N141">
        <v>3057481</v>
      </c>
      <c r="O141">
        <v>6744032</v>
      </c>
    </row>
    <row r="142" spans="1:15">
      <c r="A142" s="10" t="s">
        <v>281</v>
      </c>
      <c r="B142" s="11" t="s">
        <v>515</v>
      </c>
      <c r="C142" s="12" t="s">
        <v>703</v>
      </c>
      <c r="D142" s="11" t="s">
        <v>401</v>
      </c>
      <c r="E142" s="20">
        <v>5.5100000000000003E-2</v>
      </c>
      <c r="F142" s="20">
        <v>5.5100000000000003E-2</v>
      </c>
      <c r="G142" s="20">
        <v>5.5100000000000003E-2</v>
      </c>
      <c r="H142" s="17">
        <f t="shared" si="6"/>
        <v>4.9481250000000004E-2</v>
      </c>
      <c r="I142" s="15">
        <f t="shared" si="7"/>
        <v>-5.6187499999999987E-3</v>
      </c>
      <c r="J142" s="16">
        <f t="shared" si="8"/>
        <v>-0.10197368421052629</v>
      </c>
      <c r="K142" s="6"/>
      <c r="L142" s="6"/>
      <c r="M142" s="65">
        <v>42085</v>
      </c>
      <c r="N142">
        <v>9539051</v>
      </c>
      <c r="O142">
        <v>2039881</v>
      </c>
    </row>
    <row r="143" spans="1:15">
      <c r="A143" s="21" t="s">
        <v>170</v>
      </c>
      <c r="B143" s="11" t="str">
        <f>VLOOKUP(A143,[1]Scrap!$A$3:$E$4580,3,FALSE)</f>
        <v>80781704BF1</v>
      </c>
      <c r="C143" s="12" t="s">
        <v>704</v>
      </c>
      <c r="D143" s="11" t="s">
        <v>401</v>
      </c>
      <c r="E143" s="14">
        <v>0.24374999999999999</v>
      </c>
      <c r="F143" s="14">
        <v>0.24374999999999999</v>
      </c>
      <c r="G143" s="14">
        <v>0.24374999999999999</v>
      </c>
      <c r="H143" s="17">
        <f t="shared" si="6"/>
        <v>0.24374999999999999</v>
      </c>
      <c r="I143" s="15">
        <f t="shared" si="7"/>
        <v>0</v>
      </c>
      <c r="J143" s="16">
        <f t="shared" si="8"/>
        <v>0</v>
      </c>
      <c r="K143" s="9"/>
      <c r="L143" s="9"/>
      <c r="M143" s="65">
        <v>42089</v>
      </c>
      <c r="N143">
        <v>614887</v>
      </c>
      <c r="O143">
        <v>9942757</v>
      </c>
    </row>
    <row r="144" spans="1:15">
      <c r="A144" s="21" t="s">
        <v>363</v>
      </c>
      <c r="B144" s="11" t="str">
        <f>VLOOKUP(A144,[1]Scrap!$A$3:$E$4580,3,FALSE)</f>
        <v>8X21005AAF1</v>
      </c>
      <c r="C144" s="12" t="s">
        <v>705</v>
      </c>
      <c r="D144" s="11" t="s">
        <v>401</v>
      </c>
      <c r="E144" s="20">
        <v>0.18129999999999999</v>
      </c>
      <c r="F144" s="20">
        <v>0.22</v>
      </c>
      <c r="G144" s="20">
        <v>0.22</v>
      </c>
      <c r="H144" s="17">
        <f t="shared" si="6"/>
        <v>0.19897000000000001</v>
      </c>
      <c r="I144" s="15">
        <f t="shared" si="7"/>
        <v>-2.1029999999999993E-2</v>
      </c>
      <c r="J144" s="16">
        <f t="shared" si="8"/>
        <v>-9.559090909090906E-2</v>
      </c>
      <c r="K144" s="6"/>
      <c r="L144" s="6"/>
      <c r="M144" s="65">
        <v>42093</v>
      </c>
      <c r="N144">
        <v>11825239</v>
      </c>
      <c r="O144">
        <v>4127526</v>
      </c>
    </row>
    <row r="145" spans="1:15">
      <c r="A145" s="10" t="s">
        <v>172</v>
      </c>
      <c r="B145" s="11" t="s">
        <v>470</v>
      </c>
      <c r="C145" s="12" t="s">
        <v>706</v>
      </c>
      <c r="D145" s="11" t="s">
        <v>71</v>
      </c>
      <c r="E145" s="20">
        <v>0.24845909090909091</v>
      </c>
      <c r="F145" s="20">
        <v>0.24845909090909091</v>
      </c>
      <c r="G145" s="20">
        <v>0</v>
      </c>
      <c r="H145" s="17">
        <f t="shared" si="6"/>
        <v>0</v>
      </c>
      <c r="I145" s="15">
        <f t="shared" si="7"/>
        <v>0</v>
      </c>
      <c r="J145" s="16">
        <f t="shared" si="8"/>
        <v>0</v>
      </c>
      <c r="K145" s="6"/>
      <c r="L145" s="6"/>
      <c r="M145" s="65">
        <v>42097</v>
      </c>
      <c r="N145">
        <v>2939682</v>
      </c>
      <c r="O145">
        <v>6458134</v>
      </c>
    </row>
    <row r="146" spans="1:15">
      <c r="A146" s="10" t="s">
        <v>173</v>
      </c>
      <c r="B146" s="11" t="s">
        <v>471</v>
      </c>
      <c r="C146" s="12" t="s">
        <v>707</v>
      </c>
      <c r="D146" s="11" t="s">
        <v>71</v>
      </c>
      <c r="E146" s="20">
        <v>0.24845909090909091</v>
      </c>
      <c r="F146" s="20">
        <v>0.24845909090909091</v>
      </c>
      <c r="G146" s="20">
        <v>0</v>
      </c>
      <c r="H146" s="17">
        <f t="shared" si="6"/>
        <v>0.22467794117647061</v>
      </c>
      <c r="I146" s="15">
        <f t="shared" si="7"/>
        <v>0.22467794117647061</v>
      </c>
      <c r="J146" s="16">
        <f t="shared" si="8"/>
        <v>0</v>
      </c>
      <c r="K146" s="6"/>
      <c r="L146" s="6"/>
      <c r="M146" s="65">
        <v>42101</v>
      </c>
      <c r="N146">
        <v>8198213</v>
      </c>
      <c r="O146">
        <v>9395483</v>
      </c>
    </row>
    <row r="147" spans="1:15">
      <c r="A147" s="21" t="s">
        <v>174</v>
      </c>
      <c r="B147" s="11" t="str">
        <f>VLOOKUP(A147,[1]Scrap!$A$3:$E$4580,3,FALSE)</f>
        <v>80781706CF1</v>
      </c>
      <c r="C147" s="12" t="s">
        <v>708</v>
      </c>
      <c r="D147" s="11" t="s">
        <v>401</v>
      </c>
      <c r="E147" s="20">
        <v>0.17746249999999997</v>
      </c>
      <c r="F147" s="20">
        <v>0.17749999999999999</v>
      </c>
      <c r="G147" s="20">
        <v>0.17749999999999999</v>
      </c>
      <c r="H147" s="17">
        <f t="shared" si="6"/>
        <v>0.17749999999999999</v>
      </c>
      <c r="I147" s="15">
        <f t="shared" si="7"/>
        <v>0</v>
      </c>
      <c r="J147" s="16">
        <f t="shared" si="8"/>
        <v>0</v>
      </c>
      <c r="K147" s="9"/>
      <c r="L147" s="9"/>
      <c r="M147" s="65">
        <v>42105</v>
      </c>
      <c r="N147">
        <v>7107813</v>
      </c>
      <c r="O147">
        <v>7159288</v>
      </c>
    </row>
    <row r="148" spans="1:15">
      <c r="A148" s="10" t="s">
        <v>175</v>
      </c>
      <c r="B148" s="11" t="str">
        <f>VLOOKUP(A148,[1]Scrap!$A$3:$E$4580,3,FALSE)</f>
        <v>80781706FF1</v>
      </c>
      <c r="C148" s="12" t="s">
        <v>709</v>
      </c>
      <c r="D148" s="23" t="s">
        <v>71</v>
      </c>
      <c r="E148" s="14">
        <v>0</v>
      </c>
      <c r="F148" s="14">
        <v>0</v>
      </c>
      <c r="G148" s="14">
        <v>0.16300000000000001</v>
      </c>
      <c r="H148" s="17">
        <f t="shared" si="6"/>
        <v>0.16300000000000001</v>
      </c>
      <c r="I148" s="15">
        <f t="shared" si="7"/>
        <v>0</v>
      </c>
      <c r="J148" s="16">
        <f t="shared" si="8"/>
        <v>0</v>
      </c>
      <c r="K148" s="28"/>
      <c r="L148" s="28"/>
      <c r="M148" s="65">
        <v>42109</v>
      </c>
      <c r="N148">
        <v>7887826</v>
      </c>
      <c r="O148">
        <v>5731303</v>
      </c>
    </row>
    <row r="149" spans="1:15">
      <c r="A149" s="21" t="s">
        <v>176</v>
      </c>
      <c r="B149" s="11" t="str">
        <f>VLOOKUP(A149,[1]Scrap!$A$3:$E$4580,3,FALSE)</f>
        <v>80781707AF1</v>
      </c>
      <c r="C149" s="12" t="s">
        <v>710</v>
      </c>
      <c r="D149" s="11" t="s">
        <v>401</v>
      </c>
      <c r="E149" s="20">
        <v>0.17280000000000001</v>
      </c>
      <c r="F149" s="20">
        <v>0.17280000000000001</v>
      </c>
      <c r="G149" s="20">
        <v>0.17280000000000001</v>
      </c>
      <c r="H149" s="17">
        <f t="shared" si="6"/>
        <v>0.17280000000000001</v>
      </c>
      <c r="I149" s="15">
        <f t="shared" si="7"/>
        <v>0</v>
      </c>
      <c r="J149" s="16">
        <f t="shared" si="8"/>
        <v>0</v>
      </c>
      <c r="K149" s="9"/>
      <c r="L149" s="9"/>
      <c r="M149" s="65">
        <v>42113</v>
      </c>
      <c r="N149">
        <v>848011</v>
      </c>
      <c r="O149">
        <v>7361058</v>
      </c>
    </row>
    <row r="150" spans="1:15">
      <c r="A150" s="10" t="s">
        <v>177</v>
      </c>
      <c r="B150" s="11" t="s">
        <v>472</v>
      </c>
      <c r="C150" s="12" t="s">
        <v>711</v>
      </c>
      <c r="D150" s="11" t="s">
        <v>71</v>
      </c>
      <c r="E150" s="20">
        <v>0.17280000000000001</v>
      </c>
      <c r="F150" s="20">
        <v>0.17280000000000001</v>
      </c>
      <c r="G150" s="20">
        <v>0</v>
      </c>
      <c r="H150" s="17">
        <f t="shared" si="6"/>
        <v>0.144625</v>
      </c>
      <c r="I150" s="15">
        <f t="shared" si="7"/>
        <v>0.144625</v>
      </c>
      <c r="J150" s="16">
        <f t="shared" si="8"/>
        <v>0</v>
      </c>
      <c r="K150" s="9"/>
      <c r="L150" s="9"/>
      <c r="M150" s="65">
        <v>42117</v>
      </c>
      <c r="N150">
        <v>10766288</v>
      </c>
      <c r="O150">
        <v>9687587</v>
      </c>
    </row>
    <row r="151" spans="1:15">
      <c r="A151" s="21" t="s">
        <v>178</v>
      </c>
      <c r="B151" s="11" t="str">
        <f>VLOOKUP(A151,[1]Scrap!$A$3:$E$4580,3,FALSE)</f>
        <v>80782616CF1</v>
      </c>
      <c r="C151" s="12" t="s">
        <v>712</v>
      </c>
      <c r="D151" s="11" t="s">
        <v>401</v>
      </c>
      <c r="E151" s="14">
        <v>0.57399999999999995</v>
      </c>
      <c r="F151" s="14">
        <v>0.57399999999999995</v>
      </c>
      <c r="G151" s="14">
        <v>0.57399999999999995</v>
      </c>
      <c r="H151" s="17">
        <f t="shared" si="6"/>
        <v>0.57399999999999995</v>
      </c>
      <c r="I151" s="15">
        <f t="shared" si="7"/>
        <v>0</v>
      </c>
      <c r="J151" s="16">
        <f t="shared" si="8"/>
        <v>0</v>
      </c>
      <c r="K151" s="28"/>
      <c r="L151" s="28"/>
      <c r="M151" s="65">
        <v>42121</v>
      </c>
      <c r="N151">
        <v>767028</v>
      </c>
      <c r="O151">
        <v>8793470</v>
      </c>
    </row>
    <row r="152" spans="1:15">
      <c r="A152" s="10" t="s">
        <v>179</v>
      </c>
      <c r="B152" s="11" t="s">
        <v>473</v>
      </c>
      <c r="C152" s="12" t="s">
        <v>713</v>
      </c>
      <c r="D152" s="23" t="s">
        <v>71</v>
      </c>
      <c r="E152" s="14">
        <v>0</v>
      </c>
      <c r="F152" s="14">
        <v>0</v>
      </c>
      <c r="G152" s="14">
        <v>0.625</v>
      </c>
      <c r="H152" s="17">
        <f t="shared" si="6"/>
        <v>0.625</v>
      </c>
      <c r="I152" s="15">
        <f t="shared" si="7"/>
        <v>0</v>
      </c>
      <c r="J152" s="16">
        <f t="shared" si="8"/>
        <v>0</v>
      </c>
      <c r="K152" s="28"/>
      <c r="L152" s="28"/>
      <c r="M152" s="65">
        <v>42005</v>
      </c>
      <c r="N152">
        <v>9789847</v>
      </c>
      <c r="O152">
        <v>10903129</v>
      </c>
    </row>
    <row r="153" spans="1:15">
      <c r="A153" s="21" t="s">
        <v>180</v>
      </c>
      <c r="B153" s="11" t="str">
        <f>VLOOKUP(A153,[1]Scrap!$A$3:$E$4580,3,FALSE)</f>
        <v>80783903NF1</v>
      </c>
      <c r="C153" s="12" t="s">
        <v>714</v>
      </c>
      <c r="D153" s="11" t="s">
        <v>401</v>
      </c>
      <c r="E153" s="14">
        <v>0.35745916</v>
      </c>
      <c r="F153" s="14">
        <v>0.35745916</v>
      </c>
      <c r="G153" s="14">
        <v>0.35745916</v>
      </c>
      <c r="H153" s="17">
        <f t="shared" si="6"/>
        <v>0.35745916</v>
      </c>
      <c r="I153" s="15">
        <f t="shared" si="7"/>
        <v>0</v>
      </c>
      <c r="J153" s="16">
        <f t="shared" si="8"/>
        <v>0</v>
      </c>
      <c r="K153" s="28"/>
      <c r="L153" s="28"/>
      <c r="M153" s="65">
        <v>42009</v>
      </c>
      <c r="N153">
        <v>9575840</v>
      </c>
      <c r="O153">
        <v>5000438</v>
      </c>
    </row>
    <row r="154" spans="1:15">
      <c r="A154" s="21" t="s">
        <v>181</v>
      </c>
      <c r="B154" s="11" t="str">
        <f>VLOOKUP(A154,[1]Scrap!$A$3:$E$4580,3,FALSE)</f>
        <v>80783903OF1</v>
      </c>
      <c r="C154" s="12" t="s">
        <v>715</v>
      </c>
      <c r="D154" s="11" t="s">
        <v>401</v>
      </c>
      <c r="E154" s="14">
        <v>0.530559895</v>
      </c>
      <c r="F154" s="14">
        <v>0.530559895</v>
      </c>
      <c r="G154" s="14">
        <v>0.530559895</v>
      </c>
      <c r="H154" s="17">
        <f t="shared" si="6"/>
        <v>0.530559895</v>
      </c>
      <c r="I154" s="15">
        <f t="shared" si="7"/>
        <v>0</v>
      </c>
      <c r="J154" s="16">
        <f t="shared" si="8"/>
        <v>0</v>
      </c>
      <c r="K154" s="9"/>
      <c r="L154" s="9"/>
      <c r="M154" s="65">
        <v>42013</v>
      </c>
      <c r="N154">
        <v>9530852</v>
      </c>
      <c r="O154">
        <v>4850205</v>
      </c>
    </row>
    <row r="155" spans="1:15">
      <c r="A155" s="21" t="s">
        <v>182</v>
      </c>
      <c r="B155" s="11" t="str">
        <f>VLOOKUP(A155,[1]Scrap!$A$3:$E$4580,3,FALSE)</f>
        <v>80783903QF1</v>
      </c>
      <c r="C155" s="12" t="s">
        <v>716</v>
      </c>
      <c r="D155" s="11" t="s">
        <v>401</v>
      </c>
      <c r="E155" s="14">
        <v>0.530559895</v>
      </c>
      <c r="F155" s="14">
        <v>0.530559895</v>
      </c>
      <c r="G155" s="14">
        <v>0.530559895</v>
      </c>
      <c r="H155" s="17">
        <f t="shared" si="6"/>
        <v>0.530559895</v>
      </c>
      <c r="I155" s="15">
        <f t="shared" si="7"/>
        <v>0</v>
      </c>
      <c r="J155" s="16">
        <f t="shared" si="8"/>
        <v>0</v>
      </c>
      <c r="K155" s="9"/>
      <c r="L155" s="9"/>
      <c r="M155" s="65">
        <v>42017</v>
      </c>
      <c r="N155">
        <v>4953280</v>
      </c>
      <c r="O155">
        <v>9757456</v>
      </c>
    </row>
    <row r="156" spans="1:15">
      <c r="A156" s="10" t="s">
        <v>183</v>
      </c>
      <c r="B156" s="11" t="s">
        <v>474</v>
      </c>
      <c r="C156" s="12" t="s">
        <v>717</v>
      </c>
      <c r="D156" s="11" t="s">
        <v>401</v>
      </c>
      <c r="E156" s="20">
        <v>0.37283333333333335</v>
      </c>
      <c r="F156" s="20">
        <v>0.37283333333333335</v>
      </c>
      <c r="G156" s="20">
        <v>0.37283333333333335</v>
      </c>
      <c r="H156" s="17">
        <f t="shared" si="6"/>
        <v>0.37283333333333335</v>
      </c>
      <c r="I156" s="15">
        <f t="shared" si="7"/>
        <v>0</v>
      </c>
      <c r="J156" s="16">
        <f t="shared" si="8"/>
        <v>0</v>
      </c>
      <c r="K156" s="9"/>
      <c r="L156" s="9"/>
      <c r="M156" s="65">
        <v>42021</v>
      </c>
      <c r="N156">
        <v>8501166</v>
      </c>
      <c r="O156">
        <v>5458373</v>
      </c>
    </row>
    <row r="157" spans="1:15">
      <c r="A157" s="21" t="s">
        <v>360</v>
      </c>
      <c r="B157" s="11" t="str">
        <f>VLOOKUP(A157,[1]Scrap!$A$3:$E$4580,3,FALSE)</f>
        <v>8X21003CAF1</v>
      </c>
      <c r="C157" s="12" t="s">
        <v>718</v>
      </c>
      <c r="D157" s="11" t="s">
        <v>401</v>
      </c>
      <c r="E157" s="20">
        <v>0.1108625</v>
      </c>
      <c r="F157" s="20">
        <v>0.1108625</v>
      </c>
      <c r="G157" s="20">
        <v>0.1108625</v>
      </c>
      <c r="H157" s="17">
        <f t="shared" si="6"/>
        <v>0.10113750000000001</v>
      </c>
      <c r="I157" s="15">
        <f t="shared" si="7"/>
        <v>-9.7249999999999975E-3</v>
      </c>
      <c r="J157" s="16">
        <f t="shared" si="8"/>
        <v>-8.7721276355846187E-2</v>
      </c>
      <c r="K157" s="6"/>
      <c r="L157" s="6"/>
      <c r="M157" s="65">
        <v>42025</v>
      </c>
      <c r="N157">
        <v>967534</v>
      </c>
      <c r="O157">
        <v>2598087</v>
      </c>
    </row>
    <row r="158" spans="1:15">
      <c r="A158" s="10" t="s">
        <v>185</v>
      </c>
      <c r="B158" s="11" t="s">
        <v>475</v>
      </c>
      <c r="C158" s="12" t="s">
        <v>719</v>
      </c>
      <c r="D158" s="11" t="s">
        <v>71</v>
      </c>
      <c r="E158" s="20">
        <v>0.18185000000000001</v>
      </c>
      <c r="F158" s="20">
        <v>0.18185000000000001</v>
      </c>
      <c r="G158" s="20">
        <v>0</v>
      </c>
      <c r="H158" s="17">
        <f t="shared" si="6"/>
        <v>0.15126500000000001</v>
      </c>
      <c r="I158" s="15">
        <f t="shared" si="7"/>
        <v>0.15126500000000001</v>
      </c>
      <c r="J158" s="16">
        <f t="shared" si="8"/>
        <v>0</v>
      </c>
      <c r="K158" s="6"/>
      <c r="L158" s="6"/>
      <c r="M158" s="65">
        <v>42029</v>
      </c>
      <c r="N158">
        <v>5097908</v>
      </c>
      <c r="O158">
        <v>1703250</v>
      </c>
    </row>
    <row r="159" spans="1:15">
      <c r="A159" s="10" t="s">
        <v>186</v>
      </c>
      <c r="B159" s="11" t="str">
        <f>VLOOKUP(A159,[1]Scrap!$A$3:$E$4580,3,FALSE)</f>
        <v>80785302AF1</v>
      </c>
      <c r="C159" s="12" t="s">
        <v>720</v>
      </c>
      <c r="D159" s="11" t="s">
        <v>401</v>
      </c>
      <c r="E159" s="20">
        <v>0.16068666666666662</v>
      </c>
      <c r="F159" s="20">
        <v>0.16068666666666662</v>
      </c>
      <c r="G159" s="20">
        <v>0.16068666666666662</v>
      </c>
      <c r="H159" s="17">
        <f t="shared" si="6"/>
        <v>0.16068666666666662</v>
      </c>
      <c r="I159" s="15">
        <f t="shared" si="7"/>
        <v>0</v>
      </c>
      <c r="J159" s="16">
        <f t="shared" si="8"/>
        <v>0</v>
      </c>
      <c r="K159" s="6"/>
      <c r="L159" s="6"/>
      <c r="M159" s="65">
        <v>42033</v>
      </c>
      <c r="N159">
        <v>6088068</v>
      </c>
      <c r="O159">
        <v>676631</v>
      </c>
    </row>
    <row r="160" spans="1:15">
      <c r="A160" s="10" t="s">
        <v>187</v>
      </c>
      <c r="B160" s="11" t="s">
        <v>476</v>
      </c>
      <c r="C160" s="12" t="s">
        <v>721</v>
      </c>
      <c r="D160" s="11" t="s">
        <v>71</v>
      </c>
      <c r="E160" s="20">
        <v>0.16068666666666662</v>
      </c>
      <c r="F160" s="20">
        <v>0.16068666666666662</v>
      </c>
      <c r="G160" s="20">
        <v>0</v>
      </c>
      <c r="H160" s="17">
        <f t="shared" si="6"/>
        <v>0.12852222222222226</v>
      </c>
      <c r="I160" s="15">
        <f t="shared" si="7"/>
        <v>0.12852222222222226</v>
      </c>
      <c r="J160" s="16">
        <f t="shared" si="8"/>
        <v>0</v>
      </c>
      <c r="K160" s="6"/>
      <c r="L160" s="6"/>
      <c r="M160" s="65">
        <v>42037</v>
      </c>
      <c r="N160">
        <v>6601223</v>
      </c>
      <c r="O160">
        <v>5044429</v>
      </c>
    </row>
    <row r="161" spans="1:15">
      <c r="A161" s="21" t="s">
        <v>188</v>
      </c>
      <c r="B161" s="11" t="str">
        <f>VLOOKUP(A161,[1]Scrap!$A$3:$E$4580,3,FALSE)</f>
        <v>80785403AF1</v>
      </c>
      <c r="C161" s="12" t="s">
        <v>722</v>
      </c>
      <c r="D161" s="11" t="s">
        <v>401</v>
      </c>
      <c r="E161" s="14">
        <v>0.11466708999999999</v>
      </c>
      <c r="F161" s="14">
        <v>0.11466708999999999</v>
      </c>
      <c r="G161" s="14">
        <v>0.11466708999999999</v>
      </c>
      <c r="H161" s="17">
        <f t="shared" si="6"/>
        <v>0.11466708999999999</v>
      </c>
      <c r="I161" s="15">
        <f t="shared" si="7"/>
        <v>0</v>
      </c>
      <c r="J161" s="16">
        <f t="shared" si="8"/>
        <v>0</v>
      </c>
      <c r="K161" s="9"/>
      <c r="L161" s="9"/>
      <c r="M161" s="65">
        <v>42041</v>
      </c>
      <c r="N161">
        <v>10450322</v>
      </c>
      <c r="O161">
        <v>2951945</v>
      </c>
    </row>
    <row r="162" spans="1:15">
      <c r="A162" s="21" t="s">
        <v>189</v>
      </c>
      <c r="B162" s="11" t="str">
        <f>VLOOKUP(A162,[1]Scrap!$A$3:$E$4580,3,FALSE)</f>
        <v>80785801AF1</v>
      </c>
      <c r="C162" s="12" t="s">
        <v>723</v>
      </c>
      <c r="D162" s="11" t="s">
        <v>401</v>
      </c>
      <c r="E162" s="14">
        <v>0.18227373549999998</v>
      </c>
      <c r="F162" s="14">
        <v>0.18227373549999998</v>
      </c>
      <c r="G162" s="14">
        <v>0.18227373549999998</v>
      </c>
      <c r="H162" s="17">
        <f t="shared" si="6"/>
        <v>0.18227373549999998</v>
      </c>
      <c r="I162" s="15">
        <f t="shared" si="7"/>
        <v>0</v>
      </c>
      <c r="J162" s="16">
        <f t="shared" si="8"/>
        <v>0</v>
      </c>
      <c r="K162" s="6"/>
      <c r="L162" s="6"/>
      <c r="M162" s="65">
        <v>42045</v>
      </c>
      <c r="N162">
        <v>675899</v>
      </c>
      <c r="O162">
        <v>4975023</v>
      </c>
    </row>
    <row r="163" spans="1:15">
      <c r="A163" s="21" t="s">
        <v>190</v>
      </c>
      <c r="B163" s="11" t="str">
        <f>VLOOKUP(A163,[1]Scrap!$A$3:$E$4580,3,FALSE)</f>
        <v>80842501BF1</v>
      </c>
      <c r="C163" s="12" t="s">
        <v>724</v>
      </c>
      <c r="D163" s="11" t="s">
        <v>71</v>
      </c>
      <c r="E163" s="14">
        <v>0</v>
      </c>
      <c r="F163" s="14">
        <v>0</v>
      </c>
      <c r="G163" s="14">
        <v>0.28160000000000002</v>
      </c>
      <c r="H163" s="17">
        <f t="shared" si="6"/>
        <v>0.28160000000000002</v>
      </c>
      <c r="I163" s="15">
        <f t="shared" si="7"/>
        <v>0</v>
      </c>
      <c r="J163" s="16">
        <f t="shared" si="8"/>
        <v>0</v>
      </c>
      <c r="K163" s="6"/>
      <c r="L163" s="6"/>
      <c r="M163" s="65">
        <v>42049</v>
      </c>
      <c r="N163">
        <v>7736852</v>
      </c>
      <c r="O163">
        <v>7076588</v>
      </c>
    </row>
    <row r="164" spans="1:15">
      <c r="A164" s="21" t="s">
        <v>191</v>
      </c>
      <c r="B164" s="11" t="str">
        <f>VLOOKUP(A164,[1]Scrap!$A$3:$E$4580,3,FALSE)</f>
        <v>80842601AF1</v>
      </c>
      <c r="C164" s="12" t="s">
        <v>725</v>
      </c>
      <c r="D164" s="11" t="s">
        <v>401</v>
      </c>
      <c r="E164" s="14">
        <v>0.21752564102564104</v>
      </c>
      <c r="F164" s="14">
        <v>0.21752564102564104</v>
      </c>
      <c r="G164" s="14">
        <v>0.21752564102564104</v>
      </c>
      <c r="H164" s="17">
        <f t="shared" si="6"/>
        <v>0.21752564102564104</v>
      </c>
      <c r="I164" s="15">
        <f t="shared" si="7"/>
        <v>0</v>
      </c>
      <c r="J164" s="16">
        <f t="shared" si="8"/>
        <v>0</v>
      </c>
      <c r="K164" s="6"/>
      <c r="L164" s="6"/>
      <c r="M164" s="65">
        <v>42053</v>
      </c>
      <c r="N164">
        <v>1597533</v>
      </c>
      <c r="O164">
        <v>5250143</v>
      </c>
    </row>
    <row r="165" spans="1:15">
      <c r="A165" s="21" t="s">
        <v>192</v>
      </c>
      <c r="B165" s="11" t="str">
        <f>VLOOKUP(A165,[1]Scrap!$A$3:$E$4580,3,FALSE)</f>
        <v>80842601BF1</v>
      </c>
      <c r="C165" s="12" t="s">
        <v>726</v>
      </c>
      <c r="D165" s="11" t="s">
        <v>401</v>
      </c>
      <c r="E165" s="14">
        <v>0.21752564102564104</v>
      </c>
      <c r="F165" s="14">
        <v>0.21752564102564104</v>
      </c>
      <c r="G165" s="14">
        <v>0.21752564102564104</v>
      </c>
      <c r="H165" s="17">
        <f t="shared" si="6"/>
        <v>0.21752564102564104</v>
      </c>
      <c r="I165" s="15">
        <f t="shared" si="7"/>
        <v>0</v>
      </c>
      <c r="J165" s="16">
        <f t="shared" si="8"/>
        <v>0</v>
      </c>
      <c r="K165" s="6"/>
      <c r="L165" s="6"/>
      <c r="M165" s="65">
        <v>42057</v>
      </c>
      <c r="N165">
        <v>10296890</v>
      </c>
      <c r="O165">
        <v>5649992</v>
      </c>
    </row>
    <row r="166" spans="1:15">
      <c r="A166" s="10" t="s">
        <v>225</v>
      </c>
      <c r="B166" s="11" t="str">
        <f>VLOOKUP(A166,[1]Scrap!$A$3:$E$4580,3,FALSE)</f>
        <v>81320101AF1</v>
      </c>
      <c r="C166" s="12" t="s">
        <v>727</v>
      </c>
      <c r="D166" s="11" t="s">
        <v>401</v>
      </c>
      <c r="E166" s="20">
        <v>0.45579999999999998</v>
      </c>
      <c r="F166" s="20">
        <v>0.45579999999999998</v>
      </c>
      <c r="G166" s="20">
        <v>0.65400000000000003</v>
      </c>
      <c r="H166" s="17">
        <f t="shared" si="6"/>
        <v>0.59675909090909096</v>
      </c>
      <c r="I166" s="15">
        <f t="shared" si="7"/>
        <v>-5.7240909090909065E-2</v>
      </c>
      <c r="J166" s="16">
        <f t="shared" si="8"/>
        <v>-8.7524325827078073E-2</v>
      </c>
      <c r="K166" s="6"/>
      <c r="L166" s="6"/>
      <c r="M166" s="65">
        <v>42061</v>
      </c>
      <c r="N166">
        <v>1192489</v>
      </c>
      <c r="O166">
        <v>2193184</v>
      </c>
    </row>
    <row r="167" spans="1:15">
      <c r="A167" s="29" t="s">
        <v>194</v>
      </c>
      <c r="B167" s="31" t="s">
        <v>477</v>
      </c>
      <c r="C167" s="31" t="s">
        <v>728</v>
      </c>
      <c r="D167" s="30" t="s">
        <v>401</v>
      </c>
      <c r="E167" s="46">
        <v>0.218</v>
      </c>
      <c r="F167" s="46">
        <v>0.218</v>
      </c>
      <c r="G167" s="46">
        <v>0.31869999999999998</v>
      </c>
      <c r="H167" s="17">
        <f t="shared" si="6"/>
        <v>0.31869999999999998</v>
      </c>
      <c r="I167" s="15">
        <f t="shared" si="7"/>
        <v>0</v>
      </c>
      <c r="J167" s="16">
        <f t="shared" si="8"/>
        <v>0</v>
      </c>
      <c r="K167" s="35"/>
      <c r="L167" s="35"/>
      <c r="M167" s="65">
        <v>42065</v>
      </c>
      <c r="N167">
        <v>6769192</v>
      </c>
      <c r="O167">
        <v>3123157</v>
      </c>
    </row>
    <row r="168" spans="1:15">
      <c r="A168" s="29" t="s">
        <v>195</v>
      </c>
      <c r="B168" s="31" t="s">
        <v>478</v>
      </c>
      <c r="C168" s="31" t="s">
        <v>729</v>
      </c>
      <c r="D168" s="30" t="s">
        <v>401</v>
      </c>
      <c r="E168" s="46">
        <v>0.218</v>
      </c>
      <c r="F168" s="46">
        <v>0.218</v>
      </c>
      <c r="G168" s="46">
        <v>0.15509999999999999</v>
      </c>
      <c r="H168" s="17">
        <f t="shared" si="6"/>
        <v>0.15509999999999999</v>
      </c>
      <c r="I168" s="15">
        <f t="shared" si="7"/>
        <v>0</v>
      </c>
      <c r="J168" s="16">
        <f t="shared" si="8"/>
        <v>0</v>
      </c>
      <c r="K168" s="35"/>
      <c r="L168" s="35"/>
      <c r="M168" s="65">
        <v>42069</v>
      </c>
      <c r="N168">
        <v>11810792</v>
      </c>
      <c r="O168">
        <v>4382447</v>
      </c>
    </row>
    <row r="169" spans="1:15">
      <c r="A169" s="10" t="s">
        <v>196</v>
      </c>
      <c r="B169" s="11" t="str">
        <f>VLOOKUP(A169,[1]Scrap!$A$3:$E$4580,3,FALSE)</f>
        <v>80970801FF1</v>
      </c>
      <c r="C169" s="12" t="s">
        <v>730</v>
      </c>
      <c r="D169" s="11" t="s">
        <v>401</v>
      </c>
      <c r="E169" s="20">
        <v>0.2949</v>
      </c>
      <c r="F169" s="20">
        <v>0.2949</v>
      </c>
      <c r="G169" s="20">
        <v>0.2949</v>
      </c>
      <c r="H169" s="17">
        <f t="shared" si="6"/>
        <v>0.2949</v>
      </c>
      <c r="I169" s="15">
        <f t="shared" si="7"/>
        <v>0</v>
      </c>
      <c r="J169" s="16">
        <f t="shared" si="8"/>
        <v>0</v>
      </c>
      <c r="K169" s="6"/>
      <c r="L169" s="6"/>
      <c r="M169" s="65">
        <v>42073</v>
      </c>
      <c r="N169">
        <v>5654680</v>
      </c>
      <c r="O169">
        <v>7423213</v>
      </c>
    </row>
    <row r="170" spans="1:15">
      <c r="A170" s="10" t="s">
        <v>197</v>
      </c>
      <c r="B170" s="11" t="str">
        <f>VLOOKUP(A170,[1]Scrap!$A$3:$E$4580,3,FALSE)</f>
        <v>80971801CF1</v>
      </c>
      <c r="C170" s="12" t="s">
        <v>731</v>
      </c>
      <c r="D170" s="11" t="s">
        <v>401</v>
      </c>
      <c r="E170" s="14">
        <v>0.21112500000000001</v>
      </c>
      <c r="F170" s="14">
        <v>0.21112500000000001</v>
      </c>
      <c r="G170" s="14">
        <v>0.21112500000000001</v>
      </c>
      <c r="H170" s="17">
        <f t="shared" si="6"/>
        <v>0.21112500000000001</v>
      </c>
      <c r="I170" s="15">
        <f t="shared" si="7"/>
        <v>0</v>
      </c>
      <c r="J170" s="16">
        <f t="shared" si="8"/>
        <v>0</v>
      </c>
      <c r="K170" s="6"/>
      <c r="L170" s="6"/>
      <c r="M170" s="65">
        <v>42077</v>
      </c>
      <c r="N170">
        <v>5128633</v>
      </c>
      <c r="O170">
        <v>7827743</v>
      </c>
    </row>
    <row r="171" spans="1:15">
      <c r="A171" s="10" t="s">
        <v>198</v>
      </c>
      <c r="B171" s="11" t="str">
        <f>VLOOKUP(A171,[1]Scrap!$A$3:$E$4580,3,FALSE)</f>
        <v>80971803CF1</v>
      </c>
      <c r="C171" s="12" t="s">
        <v>732</v>
      </c>
      <c r="D171" s="11" t="s">
        <v>401</v>
      </c>
      <c r="E171" s="20">
        <v>0.20916000000000001</v>
      </c>
      <c r="F171" s="20">
        <v>0.20916000000000001</v>
      </c>
      <c r="G171" s="20">
        <v>0.20916000000000001</v>
      </c>
      <c r="H171" s="17">
        <f t="shared" si="6"/>
        <v>0.19124999999999998</v>
      </c>
      <c r="I171" s="15">
        <f t="shared" si="7"/>
        <v>-1.7910000000000037E-2</v>
      </c>
      <c r="J171" s="16">
        <f t="shared" si="8"/>
        <v>-8.5628227194492423E-2</v>
      </c>
      <c r="K171" s="6"/>
      <c r="L171" s="6"/>
      <c r="M171" s="65">
        <v>42081</v>
      </c>
      <c r="N171">
        <v>7567034</v>
      </c>
      <c r="O171">
        <v>3759678</v>
      </c>
    </row>
    <row r="172" spans="1:15">
      <c r="A172" s="10" t="s">
        <v>199</v>
      </c>
      <c r="B172" s="11" t="s">
        <v>479</v>
      </c>
      <c r="C172" s="12" t="s">
        <v>733</v>
      </c>
      <c r="D172" s="11" t="s">
        <v>71</v>
      </c>
      <c r="E172" s="14">
        <v>0</v>
      </c>
      <c r="F172" s="14">
        <v>0</v>
      </c>
      <c r="G172" s="14">
        <v>0.66300000000000003</v>
      </c>
      <c r="H172" s="17">
        <f t="shared" si="6"/>
        <v>0.66300000000000003</v>
      </c>
      <c r="I172" s="15">
        <f t="shared" si="7"/>
        <v>0</v>
      </c>
      <c r="J172" s="16">
        <f t="shared" si="8"/>
        <v>0</v>
      </c>
      <c r="K172" s="6"/>
      <c r="L172" s="6"/>
      <c r="M172" s="65">
        <v>42085</v>
      </c>
      <c r="N172">
        <v>3190855</v>
      </c>
      <c r="O172">
        <v>11286581</v>
      </c>
    </row>
    <row r="173" spans="1:15">
      <c r="A173" s="10" t="s">
        <v>200</v>
      </c>
      <c r="B173" s="11" t="s">
        <v>479</v>
      </c>
      <c r="C173" s="12" t="s">
        <v>733</v>
      </c>
      <c r="D173" s="11" t="s">
        <v>71</v>
      </c>
      <c r="E173" s="14">
        <v>0</v>
      </c>
      <c r="F173" s="14">
        <v>0</v>
      </c>
      <c r="G173" s="14">
        <v>0.66300000000000003</v>
      </c>
      <c r="H173" s="17">
        <f t="shared" si="6"/>
        <v>0.66300000000000003</v>
      </c>
      <c r="I173" s="15">
        <f t="shared" si="7"/>
        <v>0</v>
      </c>
      <c r="J173" s="16">
        <f t="shared" si="8"/>
        <v>0</v>
      </c>
      <c r="K173" s="6"/>
      <c r="L173" s="6"/>
      <c r="M173" s="65">
        <v>42089</v>
      </c>
      <c r="N173">
        <v>7776477</v>
      </c>
      <c r="O173">
        <v>6621048</v>
      </c>
    </row>
    <row r="174" spans="1:15">
      <c r="A174" s="29" t="s">
        <v>201</v>
      </c>
      <c r="B174" s="30" t="s">
        <v>480</v>
      </c>
      <c r="C174" s="31" t="s">
        <v>734</v>
      </c>
      <c r="D174" s="30" t="s">
        <v>71</v>
      </c>
      <c r="E174" s="36">
        <v>0</v>
      </c>
      <c r="F174" s="36">
        <v>0</v>
      </c>
      <c r="G174" s="36">
        <v>0.44940000000000002</v>
      </c>
      <c r="H174" s="17">
        <f t="shared" si="6"/>
        <v>0.44940000000000002</v>
      </c>
      <c r="I174" s="15">
        <f t="shared" si="7"/>
        <v>0</v>
      </c>
      <c r="J174" s="16">
        <f t="shared" si="8"/>
        <v>0</v>
      </c>
      <c r="K174" s="35"/>
      <c r="L174" s="35"/>
      <c r="M174" s="65">
        <v>42093</v>
      </c>
      <c r="N174">
        <v>7298578</v>
      </c>
      <c r="O174">
        <v>6690664</v>
      </c>
    </row>
    <row r="175" spans="1:15">
      <c r="A175" s="29" t="s">
        <v>202</v>
      </c>
      <c r="B175" s="30" t="s">
        <v>481</v>
      </c>
      <c r="C175" s="31" t="s">
        <v>735</v>
      </c>
      <c r="D175" s="30" t="s">
        <v>71</v>
      </c>
      <c r="E175" s="36">
        <v>0</v>
      </c>
      <c r="F175" s="36">
        <v>0</v>
      </c>
      <c r="G175" s="36">
        <v>0.44940000000000002</v>
      </c>
      <c r="H175" s="17">
        <f t="shared" si="6"/>
        <v>0.44940000000000002</v>
      </c>
      <c r="I175" s="15">
        <f t="shared" si="7"/>
        <v>0</v>
      </c>
      <c r="J175" s="16">
        <f t="shared" si="8"/>
        <v>0</v>
      </c>
      <c r="K175" s="35"/>
      <c r="L175" s="35"/>
      <c r="M175" s="65">
        <v>42097</v>
      </c>
      <c r="N175">
        <v>5696203</v>
      </c>
      <c r="O175">
        <v>6363095</v>
      </c>
    </row>
    <row r="176" spans="1:15">
      <c r="A176" s="29" t="s">
        <v>203</v>
      </c>
      <c r="B176" s="30" t="s">
        <v>480</v>
      </c>
      <c r="C176" s="31" t="s">
        <v>736</v>
      </c>
      <c r="D176" s="30" t="s">
        <v>71</v>
      </c>
      <c r="E176" s="36">
        <v>0</v>
      </c>
      <c r="F176" s="36">
        <v>0</v>
      </c>
      <c r="G176" s="36">
        <v>0.44940000000000002</v>
      </c>
      <c r="H176" s="17">
        <f t="shared" si="6"/>
        <v>0.44940000000000002</v>
      </c>
      <c r="I176" s="15">
        <f t="shared" si="7"/>
        <v>0</v>
      </c>
      <c r="J176" s="16">
        <f t="shared" si="8"/>
        <v>0</v>
      </c>
      <c r="K176" s="35"/>
      <c r="L176" s="35"/>
      <c r="M176" s="65">
        <v>42101</v>
      </c>
      <c r="N176">
        <v>3222847</v>
      </c>
      <c r="O176">
        <v>8448578</v>
      </c>
    </row>
    <row r="177" spans="1:15">
      <c r="A177" s="29" t="s">
        <v>204</v>
      </c>
      <c r="B177" s="30" t="s">
        <v>481</v>
      </c>
      <c r="C177" s="31" t="s">
        <v>737</v>
      </c>
      <c r="D177" s="30" t="s">
        <v>71</v>
      </c>
      <c r="E177" s="36">
        <v>0</v>
      </c>
      <c r="F177" s="36">
        <v>0</v>
      </c>
      <c r="G177" s="36">
        <v>0.44940000000000002</v>
      </c>
      <c r="H177" s="17">
        <f t="shared" si="6"/>
        <v>0.44940000000000002</v>
      </c>
      <c r="I177" s="15">
        <f t="shared" si="7"/>
        <v>0</v>
      </c>
      <c r="J177" s="16">
        <f t="shared" si="8"/>
        <v>0</v>
      </c>
      <c r="K177" s="35"/>
      <c r="L177" s="35"/>
      <c r="M177" s="65">
        <v>42105</v>
      </c>
      <c r="N177">
        <v>6020458</v>
      </c>
      <c r="O177">
        <v>11500818</v>
      </c>
    </row>
    <row r="178" spans="1:15">
      <c r="A178" s="10" t="s">
        <v>205</v>
      </c>
      <c r="B178" s="11" t="s">
        <v>482</v>
      </c>
      <c r="C178" s="12" t="s">
        <v>738</v>
      </c>
      <c r="D178" s="11" t="s">
        <v>71</v>
      </c>
      <c r="E178" s="14">
        <v>0</v>
      </c>
      <c r="F178" s="14">
        <v>0</v>
      </c>
      <c r="G178" s="14">
        <v>0.42299999999999999</v>
      </c>
      <c r="H178" s="17">
        <f t="shared" si="6"/>
        <v>0.42299999999999999</v>
      </c>
      <c r="I178" s="15">
        <f t="shared" si="7"/>
        <v>0</v>
      </c>
      <c r="J178" s="16">
        <f t="shared" si="8"/>
        <v>0</v>
      </c>
      <c r="K178" s="42"/>
      <c r="L178" s="42"/>
      <c r="M178" s="65">
        <v>42109</v>
      </c>
      <c r="N178">
        <v>2023013</v>
      </c>
      <c r="O178">
        <v>10767033</v>
      </c>
    </row>
    <row r="179" spans="1:15">
      <c r="A179" s="10" t="s">
        <v>206</v>
      </c>
      <c r="B179" s="11" t="s">
        <v>483</v>
      </c>
      <c r="C179" s="12" t="s">
        <v>739</v>
      </c>
      <c r="D179" s="11" t="s">
        <v>71</v>
      </c>
      <c r="E179" s="14">
        <v>0</v>
      </c>
      <c r="F179" s="14">
        <v>0</v>
      </c>
      <c r="G179" s="14">
        <v>0.42299999999999999</v>
      </c>
      <c r="H179" s="17">
        <f t="shared" si="6"/>
        <v>0.42299999999999999</v>
      </c>
      <c r="I179" s="15">
        <f t="shared" si="7"/>
        <v>0</v>
      </c>
      <c r="J179" s="16">
        <f t="shared" si="8"/>
        <v>0</v>
      </c>
      <c r="K179" s="42"/>
      <c r="L179" s="42"/>
      <c r="M179" s="65">
        <v>42113</v>
      </c>
      <c r="N179">
        <v>2661529</v>
      </c>
      <c r="O179">
        <v>11693220</v>
      </c>
    </row>
    <row r="180" spans="1:15">
      <c r="A180" s="47" t="s">
        <v>207</v>
      </c>
      <c r="B180" s="48" t="s">
        <v>484</v>
      </c>
      <c r="C180" s="49" t="s">
        <v>740</v>
      </c>
      <c r="D180" s="48" t="s">
        <v>71</v>
      </c>
      <c r="E180" s="50">
        <v>0</v>
      </c>
      <c r="F180" s="50">
        <v>0</v>
      </c>
      <c r="G180" s="50">
        <v>0</v>
      </c>
      <c r="H180" s="17">
        <f t="shared" si="6"/>
        <v>0</v>
      </c>
      <c r="I180" s="15">
        <f t="shared" si="7"/>
        <v>0</v>
      </c>
      <c r="J180" s="16">
        <f t="shared" si="8"/>
        <v>0</v>
      </c>
      <c r="K180" s="51"/>
      <c r="L180" s="51"/>
      <c r="M180" s="65">
        <v>42117</v>
      </c>
      <c r="N180">
        <v>3427369</v>
      </c>
      <c r="O180">
        <v>6314857</v>
      </c>
    </row>
    <row r="181" spans="1:15">
      <c r="A181" s="21" t="s">
        <v>208</v>
      </c>
      <c r="B181" s="11" t="str">
        <f>VLOOKUP(A181,[1]Scrap!$A$3:$E$4580,3,FALSE)</f>
        <v>81020302CF1</v>
      </c>
      <c r="C181" s="12" t="s">
        <v>741</v>
      </c>
      <c r="D181" s="11" t="s">
        <v>401</v>
      </c>
      <c r="E181" s="14">
        <v>0.22488375000000002</v>
      </c>
      <c r="F181" s="14">
        <v>0.22488375000000002</v>
      </c>
      <c r="G181" s="14">
        <v>0.22488375000000002</v>
      </c>
      <c r="H181" s="17">
        <f t="shared" si="6"/>
        <v>0.22488375000000002</v>
      </c>
      <c r="I181" s="15">
        <f t="shared" si="7"/>
        <v>0</v>
      </c>
      <c r="J181" s="16">
        <f t="shared" si="8"/>
        <v>0</v>
      </c>
      <c r="K181" s="6"/>
      <c r="L181" s="6"/>
      <c r="M181" s="65">
        <v>42121</v>
      </c>
      <c r="N181">
        <v>3123525</v>
      </c>
      <c r="O181">
        <v>10831510</v>
      </c>
    </row>
    <row r="182" spans="1:15">
      <c r="A182" s="21" t="s">
        <v>209</v>
      </c>
      <c r="B182" s="11" t="str">
        <f>VLOOKUP(A182,[1]Scrap!$A$3:$E$4580,3,FALSE)</f>
        <v>81020302DF1</v>
      </c>
      <c r="C182" s="12" t="s">
        <v>742</v>
      </c>
      <c r="D182" s="11" t="s">
        <v>401</v>
      </c>
      <c r="E182" s="14">
        <v>0.22488375000000002</v>
      </c>
      <c r="F182" s="14">
        <v>0.22488375000000002</v>
      </c>
      <c r="G182" s="14">
        <v>0.22488375000000002</v>
      </c>
      <c r="H182" s="17">
        <f t="shared" si="6"/>
        <v>0.22488375000000002</v>
      </c>
      <c r="I182" s="15">
        <f t="shared" si="7"/>
        <v>0</v>
      </c>
      <c r="J182" s="16">
        <f t="shared" si="8"/>
        <v>0</v>
      </c>
      <c r="K182" s="6"/>
      <c r="L182" s="6"/>
      <c r="M182" s="65">
        <v>42005</v>
      </c>
      <c r="N182">
        <v>10328335</v>
      </c>
      <c r="O182">
        <v>2823046</v>
      </c>
    </row>
    <row r="183" spans="1:15">
      <c r="A183" s="21" t="s">
        <v>210</v>
      </c>
      <c r="B183" s="11" t="str">
        <f>VLOOKUP(A183,[1]Scrap!$A$3:$E$4580,3,FALSE)</f>
        <v>81090301AF1</v>
      </c>
      <c r="C183" s="12" t="s">
        <v>743</v>
      </c>
      <c r="D183" s="11" t="s">
        <v>401</v>
      </c>
      <c r="E183" s="14">
        <v>0.27241805555555559</v>
      </c>
      <c r="F183" s="14">
        <v>0.27241805555555559</v>
      </c>
      <c r="G183" s="14">
        <v>0.27241805555555559</v>
      </c>
      <c r="H183" s="17">
        <f t="shared" si="6"/>
        <v>0.27241805555555559</v>
      </c>
      <c r="I183" s="15">
        <f t="shared" si="7"/>
        <v>0</v>
      </c>
      <c r="J183" s="16">
        <f t="shared" si="8"/>
        <v>0</v>
      </c>
      <c r="K183" s="6"/>
      <c r="L183" s="6"/>
      <c r="M183" s="65">
        <v>42009</v>
      </c>
      <c r="N183">
        <v>8107883</v>
      </c>
      <c r="O183">
        <v>11626617</v>
      </c>
    </row>
    <row r="184" spans="1:15">
      <c r="A184" s="10" t="s">
        <v>397</v>
      </c>
      <c r="B184" s="11" t="s">
        <v>557</v>
      </c>
      <c r="C184" s="12" t="s">
        <v>744</v>
      </c>
      <c r="D184" s="11" t="s">
        <v>401</v>
      </c>
      <c r="E184" s="20">
        <v>0.45449999999999996</v>
      </c>
      <c r="F184" s="20">
        <v>0.45449999999999996</v>
      </c>
      <c r="G184" s="20">
        <v>0.45449999999999996</v>
      </c>
      <c r="H184" s="17">
        <f t="shared" si="6"/>
        <v>0.41812500000000008</v>
      </c>
      <c r="I184" s="15">
        <f t="shared" si="7"/>
        <v>-3.637499999999988E-2</v>
      </c>
      <c r="J184" s="16">
        <f t="shared" si="8"/>
        <v>-8.003300330032978E-2</v>
      </c>
      <c r="K184" s="6"/>
      <c r="L184" s="6"/>
      <c r="M184" s="65">
        <v>42013</v>
      </c>
      <c r="N184">
        <v>10012360</v>
      </c>
      <c r="O184">
        <v>2897274</v>
      </c>
    </row>
    <row r="185" spans="1:15">
      <c r="A185" s="21" t="s">
        <v>212</v>
      </c>
      <c r="B185" s="11" t="str">
        <f>VLOOKUP(A185,[1]Scrap!$A$3:$E$4580,3,FALSE)</f>
        <v>81090402BF1</v>
      </c>
      <c r="C185" s="12" t="s">
        <v>745</v>
      </c>
      <c r="D185" s="11" t="s">
        <v>401</v>
      </c>
      <c r="E185" s="14">
        <v>0.32729808500000002</v>
      </c>
      <c r="F185" s="14">
        <v>0.32729808500000002</v>
      </c>
      <c r="G185" s="14">
        <v>0.32729808500000002</v>
      </c>
      <c r="H185" s="17">
        <f t="shared" si="6"/>
        <v>0.32729808500000002</v>
      </c>
      <c r="I185" s="15">
        <f t="shared" si="7"/>
        <v>0</v>
      </c>
      <c r="J185" s="16">
        <f t="shared" si="8"/>
        <v>0</v>
      </c>
      <c r="K185" s="6"/>
      <c r="L185" s="6"/>
      <c r="M185" s="65">
        <v>42017</v>
      </c>
      <c r="N185">
        <v>5974864</v>
      </c>
      <c r="O185">
        <v>12066166</v>
      </c>
    </row>
    <row r="186" spans="1:15">
      <c r="A186" s="21" t="s">
        <v>213</v>
      </c>
      <c r="B186" s="11" t="str">
        <f>VLOOKUP(A186,[1]Scrap!$A$3:$E$4580,3,FALSE)</f>
        <v>81090402CF1</v>
      </c>
      <c r="C186" s="12" t="s">
        <v>746</v>
      </c>
      <c r="D186" s="11" t="s">
        <v>401</v>
      </c>
      <c r="E186" s="14">
        <v>0.34452430000000012</v>
      </c>
      <c r="F186" s="14">
        <v>0.34452430000000012</v>
      </c>
      <c r="G186" s="14">
        <v>0.34452430000000012</v>
      </c>
      <c r="H186" s="17">
        <f t="shared" si="6"/>
        <v>0.34452430000000012</v>
      </c>
      <c r="I186" s="15">
        <f t="shared" si="7"/>
        <v>0</v>
      </c>
      <c r="J186" s="16">
        <f t="shared" si="8"/>
        <v>0</v>
      </c>
      <c r="K186" s="6"/>
      <c r="L186" s="6"/>
      <c r="M186" s="65">
        <v>42021</v>
      </c>
      <c r="N186">
        <v>9613195</v>
      </c>
      <c r="O186">
        <v>11842284</v>
      </c>
    </row>
    <row r="187" spans="1:15">
      <c r="A187" s="21" t="s">
        <v>214</v>
      </c>
      <c r="B187" s="11" t="str">
        <f>VLOOKUP(A187,[1]Scrap!$A$3:$E$4580,3,FALSE)</f>
        <v>81090501AF1</v>
      </c>
      <c r="C187" s="12" t="s">
        <v>747</v>
      </c>
      <c r="D187" s="11" t="s">
        <v>401</v>
      </c>
      <c r="E187" s="14">
        <v>0.34269948499999997</v>
      </c>
      <c r="F187" s="14">
        <v>0.34269948499999997</v>
      </c>
      <c r="G187" s="14">
        <v>0.34269948499999997</v>
      </c>
      <c r="H187" s="17">
        <f t="shared" si="6"/>
        <v>0.34269948499999997</v>
      </c>
      <c r="I187" s="15">
        <f t="shared" si="7"/>
        <v>0</v>
      </c>
      <c r="J187" s="16">
        <f t="shared" si="8"/>
        <v>0</v>
      </c>
      <c r="K187" s="6"/>
      <c r="L187" s="6"/>
      <c r="M187" s="65">
        <v>42025</v>
      </c>
      <c r="N187">
        <v>11176859</v>
      </c>
      <c r="O187">
        <v>5195033</v>
      </c>
    </row>
    <row r="188" spans="1:15">
      <c r="A188" s="10" t="s">
        <v>49</v>
      </c>
      <c r="B188" s="11" t="s">
        <v>416</v>
      </c>
      <c r="C188" s="12" t="s">
        <v>748</v>
      </c>
      <c r="D188" s="11" t="s">
        <v>401</v>
      </c>
      <c r="E188" s="14">
        <v>0</v>
      </c>
      <c r="F188" s="14">
        <v>0</v>
      </c>
      <c r="G188" s="14">
        <v>0.5353</v>
      </c>
      <c r="H188" s="17">
        <f t="shared" si="6"/>
        <v>0.49275000000000002</v>
      </c>
      <c r="I188" s="15">
        <f t="shared" si="7"/>
        <v>-4.2549999999999977E-2</v>
      </c>
      <c r="J188" s="16">
        <f t="shared" si="8"/>
        <v>-7.9488137492994534E-2</v>
      </c>
      <c r="K188" s="18" t="s">
        <v>264</v>
      </c>
      <c r="L188" s="19">
        <v>0.46446646341463416</v>
      </c>
      <c r="M188" s="65">
        <v>42029</v>
      </c>
      <c r="N188">
        <v>632628</v>
      </c>
      <c r="O188">
        <v>1213796</v>
      </c>
    </row>
    <row r="189" spans="1:15">
      <c r="A189" s="21" t="s">
        <v>216</v>
      </c>
      <c r="B189" s="11" t="str">
        <f>VLOOKUP(A189,[1]Scrap!$A$3:$E$4580,3,FALSE)</f>
        <v>81090501CF1</v>
      </c>
      <c r="C189" s="12" t="s">
        <v>749</v>
      </c>
      <c r="D189" s="11" t="s">
        <v>401</v>
      </c>
      <c r="E189" s="14">
        <v>0.19235345000000004</v>
      </c>
      <c r="F189" s="14">
        <v>0.19235345000000004</v>
      </c>
      <c r="G189" s="14">
        <v>0.19235345000000004</v>
      </c>
      <c r="H189" s="17">
        <f t="shared" si="6"/>
        <v>0.19235345000000004</v>
      </c>
      <c r="I189" s="15">
        <f t="shared" si="7"/>
        <v>0</v>
      </c>
      <c r="J189" s="16">
        <f t="shared" si="8"/>
        <v>0</v>
      </c>
      <c r="K189" s="6"/>
      <c r="L189" s="6"/>
      <c r="M189" s="65">
        <v>42033</v>
      </c>
      <c r="N189">
        <v>4063945</v>
      </c>
      <c r="O189">
        <v>9711716</v>
      </c>
    </row>
    <row r="190" spans="1:15">
      <c r="A190" s="10" t="s">
        <v>33</v>
      </c>
      <c r="B190" s="11" t="s">
        <v>405</v>
      </c>
      <c r="C190" s="12" t="s">
        <v>750</v>
      </c>
      <c r="D190" s="11" t="s">
        <v>401</v>
      </c>
      <c r="E190" s="14">
        <v>0.4773</v>
      </c>
      <c r="F190" s="14">
        <v>0.4773</v>
      </c>
      <c r="G190" s="14">
        <v>0.4773</v>
      </c>
      <c r="H190" s="17">
        <f t="shared" si="6"/>
        <v>0.44255819672131141</v>
      </c>
      <c r="I190" s="15">
        <f t="shared" si="7"/>
        <v>-3.4741803278688588E-2</v>
      </c>
      <c r="J190" s="16">
        <f t="shared" si="8"/>
        <v>-7.2788190401610275E-2</v>
      </c>
      <c r="K190" s="18" t="s">
        <v>245</v>
      </c>
      <c r="L190" s="19">
        <v>0.33323000000000003</v>
      </c>
      <c r="M190" s="65">
        <v>42037</v>
      </c>
      <c r="N190">
        <v>10936038</v>
      </c>
      <c r="O190">
        <v>6973946</v>
      </c>
    </row>
    <row r="191" spans="1:15">
      <c r="A191" s="21" t="s">
        <v>218</v>
      </c>
      <c r="B191" s="11" t="str">
        <f>VLOOKUP(A191,[1]Scrap!$A$3:$E$4580,3,FALSE)</f>
        <v>81110102AF1</v>
      </c>
      <c r="C191" s="12" t="s">
        <v>751</v>
      </c>
      <c r="D191" s="11" t="s">
        <v>401</v>
      </c>
      <c r="E191" s="14">
        <v>0.52904909099999997</v>
      </c>
      <c r="F191" s="14">
        <v>0.52904909099999997</v>
      </c>
      <c r="G191" s="14">
        <v>0.52904909099999997</v>
      </c>
      <c r="H191" s="17">
        <f t="shared" si="6"/>
        <v>0.52904909099999997</v>
      </c>
      <c r="I191" s="15">
        <f t="shared" si="7"/>
        <v>0</v>
      </c>
      <c r="J191" s="16">
        <f t="shared" si="8"/>
        <v>0</v>
      </c>
      <c r="K191" s="6"/>
      <c r="L191" s="6"/>
      <c r="M191" s="65">
        <v>42041</v>
      </c>
      <c r="N191">
        <v>8047142</v>
      </c>
      <c r="O191">
        <v>6544170</v>
      </c>
    </row>
    <row r="192" spans="1:15">
      <c r="A192" s="21" t="s">
        <v>219</v>
      </c>
      <c r="B192" s="11" t="str">
        <f>VLOOKUP(A192,[1]Scrap!$A$3:$E$4580,3,FALSE)</f>
        <v>81160103AF1</v>
      </c>
      <c r="C192" s="12" t="s">
        <v>752</v>
      </c>
      <c r="D192" s="11" t="s">
        <v>401</v>
      </c>
      <c r="E192" s="14">
        <v>0.52904909099999997</v>
      </c>
      <c r="F192" s="14">
        <v>0.52904909099999997</v>
      </c>
      <c r="G192" s="14">
        <v>0.52904909099999997</v>
      </c>
      <c r="H192" s="17">
        <f t="shared" si="6"/>
        <v>0.52904909099999997</v>
      </c>
      <c r="I192" s="15">
        <f t="shared" si="7"/>
        <v>0</v>
      </c>
      <c r="J192" s="16">
        <f t="shared" si="8"/>
        <v>0</v>
      </c>
      <c r="K192" s="6"/>
      <c r="L192" s="6"/>
      <c r="M192" s="65">
        <v>42045</v>
      </c>
      <c r="N192">
        <v>8405784</v>
      </c>
      <c r="O192">
        <v>6989786</v>
      </c>
    </row>
    <row r="193" spans="1:15">
      <c r="A193" s="10" t="s">
        <v>220</v>
      </c>
      <c r="B193" s="11" t="s">
        <v>485</v>
      </c>
      <c r="C193" s="12" t="s">
        <v>753</v>
      </c>
      <c r="D193" s="11" t="s">
        <v>71</v>
      </c>
      <c r="E193" s="14">
        <v>0.52904909099999997</v>
      </c>
      <c r="F193" s="14">
        <v>0.52904909099999997</v>
      </c>
      <c r="G193" s="14">
        <v>0</v>
      </c>
      <c r="H193" s="17">
        <f t="shared" si="6"/>
        <v>0</v>
      </c>
      <c r="I193" s="15">
        <f t="shared" si="7"/>
        <v>0</v>
      </c>
      <c r="J193" s="16">
        <f t="shared" si="8"/>
        <v>0</v>
      </c>
      <c r="K193" s="6"/>
      <c r="L193" s="6"/>
      <c r="M193" s="65">
        <v>42049</v>
      </c>
      <c r="N193">
        <v>5741127</v>
      </c>
      <c r="O193">
        <v>11061533</v>
      </c>
    </row>
    <row r="194" spans="1:15">
      <c r="A194" s="52" t="s">
        <v>221</v>
      </c>
      <c r="B194" s="53" t="s">
        <v>486</v>
      </c>
      <c r="C194" s="54" t="s">
        <v>754</v>
      </c>
      <c r="D194" s="53" t="s">
        <v>71</v>
      </c>
      <c r="E194" s="55">
        <v>0.52904909099999997</v>
      </c>
      <c r="F194" s="55">
        <v>0.52904909099999997</v>
      </c>
      <c r="G194" s="55">
        <v>0</v>
      </c>
      <c r="H194" s="17">
        <f t="shared" ref="H194:H257" si="9">IFERROR(INDEX($K$2:$L$116,MATCH($A194,$K$2:$K$116,0),2),G194)</f>
        <v>0</v>
      </c>
      <c r="I194" s="15">
        <f t="shared" ref="I194:I257" si="10">H194-G194</f>
        <v>0</v>
      </c>
      <c r="J194" s="16">
        <f t="shared" ref="J194:J257" si="11">IF(G194&lt;&gt;0,I194/G194,)</f>
        <v>0</v>
      </c>
      <c r="K194" s="56"/>
      <c r="L194" s="56"/>
      <c r="M194" s="65">
        <v>42053</v>
      </c>
      <c r="N194">
        <v>3971173</v>
      </c>
      <c r="O194">
        <v>9363765</v>
      </c>
    </row>
    <row r="195" spans="1:15">
      <c r="A195" s="10" t="s">
        <v>222</v>
      </c>
      <c r="B195" s="11" t="str">
        <f>VLOOKUP(A195,[1]Scrap!$A$3:$E$4580,3,FALSE)</f>
        <v>81230201AF1</v>
      </c>
      <c r="C195" s="12" t="s">
        <v>755</v>
      </c>
      <c r="D195" s="11" t="s">
        <v>401</v>
      </c>
      <c r="E195" s="14">
        <v>0.17519575000000001</v>
      </c>
      <c r="F195" s="14">
        <v>0.17519575000000001</v>
      </c>
      <c r="G195" s="14">
        <v>0.17519575000000001</v>
      </c>
      <c r="H195" s="17">
        <f t="shared" si="9"/>
        <v>0.17519575000000001</v>
      </c>
      <c r="I195" s="15">
        <f t="shared" si="10"/>
        <v>0</v>
      </c>
      <c r="J195" s="16">
        <f t="shared" si="11"/>
        <v>0</v>
      </c>
      <c r="K195" s="6"/>
      <c r="L195" s="6"/>
      <c r="M195" s="65">
        <v>42057</v>
      </c>
      <c r="N195">
        <v>7899600</v>
      </c>
      <c r="O195">
        <v>929574</v>
      </c>
    </row>
    <row r="196" spans="1:15">
      <c r="A196" s="10" t="s">
        <v>223</v>
      </c>
      <c r="B196" s="11" t="str">
        <f>VLOOKUP(A196,[1]Scrap!$A$3:$E$4580,3,FALSE)</f>
        <v>81230202AF1</v>
      </c>
      <c r="C196" s="12" t="s">
        <v>756</v>
      </c>
      <c r="D196" s="11" t="s">
        <v>401</v>
      </c>
      <c r="E196" s="14">
        <v>0.16747575000000003</v>
      </c>
      <c r="F196" s="14">
        <v>0.16747575000000003</v>
      </c>
      <c r="G196" s="14">
        <v>0.16747575000000003</v>
      </c>
      <c r="H196" s="17">
        <f t="shared" si="9"/>
        <v>0.16747575000000003</v>
      </c>
      <c r="I196" s="15">
        <f t="shared" si="10"/>
        <v>0</v>
      </c>
      <c r="J196" s="16">
        <f t="shared" si="11"/>
        <v>0</v>
      </c>
      <c r="K196" s="6"/>
      <c r="L196" s="6"/>
      <c r="M196" s="65">
        <v>42061</v>
      </c>
      <c r="N196">
        <v>166694</v>
      </c>
      <c r="O196">
        <v>10091753</v>
      </c>
    </row>
    <row r="197" spans="1:15">
      <c r="A197" s="10" t="s">
        <v>224</v>
      </c>
      <c r="B197" s="11" t="s">
        <v>487</v>
      </c>
      <c r="C197" s="12" t="s">
        <v>757</v>
      </c>
      <c r="D197" s="11" t="s">
        <v>71</v>
      </c>
      <c r="E197" s="14">
        <v>0.16747575000000003</v>
      </c>
      <c r="F197" s="14">
        <v>0.16747575000000003</v>
      </c>
      <c r="G197" s="14">
        <v>0.14199999999999999</v>
      </c>
      <c r="H197" s="17">
        <f t="shared" si="9"/>
        <v>0.14199999999999999</v>
      </c>
      <c r="I197" s="15">
        <f t="shared" si="10"/>
        <v>0</v>
      </c>
      <c r="J197" s="16">
        <f t="shared" si="11"/>
        <v>0</v>
      </c>
      <c r="K197" s="6"/>
      <c r="L197" s="6"/>
      <c r="M197" s="65">
        <v>42065</v>
      </c>
      <c r="N197">
        <v>10256569</v>
      </c>
      <c r="O197">
        <v>10339006</v>
      </c>
    </row>
    <row r="198" spans="1:15">
      <c r="A198" s="10" t="s">
        <v>285</v>
      </c>
      <c r="B198" s="11" t="str">
        <f>VLOOKUP(A198,[1]Scrap!$A$3:$E$4580,3,FALSE)</f>
        <v>8X12413DAF1</v>
      </c>
      <c r="C198" s="12" t="s">
        <v>758</v>
      </c>
      <c r="D198" s="11" t="s">
        <v>401</v>
      </c>
      <c r="E198" s="20">
        <v>9.3799999999999994E-2</v>
      </c>
      <c r="F198" s="20">
        <v>9.3799999999999994E-2</v>
      </c>
      <c r="G198" s="20">
        <v>9.3799999999999994E-2</v>
      </c>
      <c r="H198" s="17">
        <f t="shared" si="9"/>
        <v>8.7016176470588236E-2</v>
      </c>
      <c r="I198" s="15">
        <f t="shared" si="10"/>
        <v>-6.7838235294117588E-3</v>
      </c>
      <c r="J198" s="16">
        <f t="shared" si="11"/>
        <v>-7.2322212467076319E-2</v>
      </c>
      <c r="K198" s="9"/>
      <c r="L198" s="9"/>
      <c r="M198" s="65">
        <v>42069</v>
      </c>
      <c r="N198">
        <v>9293912</v>
      </c>
      <c r="O198">
        <v>9444477</v>
      </c>
    </row>
    <row r="199" spans="1:15">
      <c r="A199" s="10" t="s">
        <v>226</v>
      </c>
      <c r="B199" s="11" t="str">
        <f>VLOOKUP(A199,[1]Scrap!$A$3:$E$4580,3,FALSE)</f>
        <v>81320102AF1</v>
      </c>
      <c r="C199" s="12" t="s">
        <v>759</v>
      </c>
      <c r="D199" s="11" t="s">
        <v>71</v>
      </c>
      <c r="E199" s="14">
        <v>0</v>
      </c>
      <c r="F199" s="14">
        <v>0</v>
      </c>
      <c r="G199" s="14">
        <v>0.52700000000000002</v>
      </c>
      <c r="H199" s="17">
        <f t="shared" si="9"/>
        <v>0.52700000000000002</v>
      </c>
      <c r="I199" s="15">
        <f t="shared" si="10"/>
        <v>0</v>
      </c>
      <c r="J199" s="16">
        <f t="shared" si="11"/>
        <v>0</v>
      </c>
      <c r="K199" s="6"/>
      <c r="L199" s="6"/>
      <c r="M199" s="65">
        <v>42073</v>
      </c>
      <c r="N199">
        <v>11853387</v>
      </c>
      <c r="O199">
        <v>2531257</v>
      </c>
    </row>
    <row r="200" spans="1:15">
      <c r="A200" s="10" t="s">
        <v>227</v>
      </c>
      <c r="B200" s="11" t="s">
        <v>488</v>
      </c>
      <c r="C200" s="12" t="s">
        <v>760</v>
      </c>
      <c r="D200" s="11" t="s">
        <v>71</v>
      </c>
      <c r="E200" s="20">
        <v>0.69079999999999997</v>
      </c>
      <c r="F200" s="20">
        <v>0</v>
      </c>
      <c r="G200" s="20">
        <v>0.69074999999999998</v>
      </c>
      <c r="H200" s="17">
        <f t="shared" si="9"/>
        <v>0.69074999999999998</v>
      </c>
      <c r="I200" s="15">
        <f t="shared" si="10"/>
        <v>0</v>
      </c>
      <c r="J200" s="16">
        <f t="shared" si="11"/>
        <v>0</v>
      </c>
      <c r="K200" s="6"/>
      <c r="L200" s="6"/>
      <c r="M200" s="65">
        <v>42077</v>
      </c>
      <c r="N200">
        <v>1642726</v>
      </c>
      <c r="O200">
        <v>3742424</v>
      </c>
    </row>
    <row r="201" spans="1:15">
      <c r="A201" s="10" t="s">
        <v>228</v>
      </c>
      <c r="B201" s="11" t="s">
        <v>489</v>
      </c>
      <c r="C201" s="12" t="s">
        <v>761</v>
      </c>
      <c r="D201" s="11" t="s">
        <v>71</v>
      </c>
      <c r="E201" s="20">
        <v>0.69079999999999997</v>
      </c>
      <c r="F201" s="20">
        <v>0</v>
      </c>
      <c r="G201" s="20">
        <v>0</v>
      </c>
      <c r="H201" s="17">
        <f t="shared" si="9"/>
        <v>0.37891666666666662</v>
      </c>
      <c r="I201" s="15">
        <f t="shared" si="10"/>
        <v>0.37891666666666662</v>
      </c>
      <c r="J201" s="16">
        <f t="shared" si="11"/>
        <v>0</v>
      </c>
      <c r="K201" s="6"/>
      <c r="L201" s="6"/>
      <c r="M201" s="65">
        <v>42081</v>
      </c>
      <c r="N201">
        <v>3896482</v>
      </c>
      <c r="O201">
        <v>11940883</v>
      </c>
    </row>
    <row r="202" spans="1:15">
      <c r="A202" s="10" t="s">
        <v>229</v>
      </c>
      <c r="B202" s="11" t="str">
        <f>VLOOKUP(A202,[1]Scrap!$A$3:$E$4580,3,FALSE)</f>
        <v>81320201AF1</v>
      </c>
      <c r="C202" s="12" t="s">
        <v>727</v>
      </c>
      <c r="D202" s="11" t="s">
        <v>401</v>
      </c>
      <c r="E202" s="14">
        <v>0.56100000000000005</v>
      </c>
      <c r="F202" s="14">
        <v>0.56100000000000005</v>
      </c>
      <c r="G202" s="14">
        <v>0.56100000000000005</v>
      </c>
      <c r="H202" s="17">
        <f t="shared" si="9"/>
        <v>0.56100000000000005</v>
      </c>
      <c r="I202" s="15">
        <f t="shared" si="10"/>
        <v>0</v>
      </c>
      <c r="J202" s="16">
        <f t="shared" si="11"/>
        <v>0</v>
      </c>
      <c r="K202" s="57"/>
      <c r="L202" s="57"/>
      <c r="M202" s="65">
        <v>42085</v>
      </c>
      <c r="N202">
        <v>9247346</v>
      </c>
      <c r="O202">
        <v>7602634</v>
      </c>
    </row>
    <row r="203" spans="1:15">
      <c r="A203" s="10" t="s">
        <v>230</v>
      </c>
      <c r="B203" s="11" t="s">
        <v>490</v>
      </c>
      <c r="C203" s="12" t="s">
        <v>762</v>
      </c>
      <c r="D203" s="11" t="s">
        <v>401</v>
      </c>
      <c r="E203" s="14">
        <v>0.71550000000000002</v>
      </c>
      <c r="F203" s="14">
        <v>0.71550000000000002</v>
      </c>
      <c r="G203" s="14">
        <v>0.71550000000000002</v>
      </c>
      <c r="H203" s="17">
        <f t="shared" si="9"/>
        <v>0.71550000000000002</v>
      </c>
      <c r="I203" s="15">
        <f t="shared" si="10"/>
        <v>0</v>
      </c>
      <c r="J203" s="16">
        <f t="shared" si="11"/>
        <v>0</v>
      </c>
      <c r="K203" s="57"/>
      <c r="L203" s="57"/>
      <c r="M203" s="65">
        <v>42089</v>
      </c>
      <c r="N203">
        <v>4166246</v>
      </c>
      <c r="O203">
        <v>3644743</v>
      </c>
    </row>
    <row r="204" spans="1:15">
      <c r="A204" s="10" t="s">
        <v>230</v>
      </c>
      <c r="B204" s="11" t="s">
        <v>490</v>
      </c>
      <c r="C204" s="12" t="s">
        <v>762</v>
      </c>
      <c r="D204" s="11" t="s">
        <v>401</v>
      </c>
      <c r="E204" s="14">
        <v>0.71550000000000002</v>
      </c>
      <c r="F204" s="14">
        <v>0.71550000000000002</v>
      </c>
      <c r="G204" s="14">
        <v>0.71550000000000002</v>
      </c>
      <c r="H204" s="17">
        <f t="shared" si="9"/>
        <v>0.71550000000000002</v>
      </c>
      <c r="I204" s="15">
        <f t="shared" si="10"/>
        <v>0</v>
      </c>
      <c r="J204" s="16">
        <f t="shared" si="11"/>
        <v>0</v>
      </c>
      <c r="K204" s="57"/>
      <c r="L204" s="57"/>
      <c r="M204" s="65">
        <v>42093</v>
      </c>
      <c r="N204">
        <v>1473177</v>
      </c>
      <c r="O204">
        <v>10145377</v>
      </c>
    </row>
    <row r="205" spans="1:15">
      <c r="A205" s="21" t="s">
        <v>231</v>
      </c>
      <c r="B205" s="11" t="str">
        <f>VLOOKUP(A205,[1]Scrap!$A$3:$E$4580,3,FALSE)</f>
        <v>81380101AF1</v>
      </c>
      <c r="C205" s="12" t="s">
        <v>763</v>
      </c>
      <c r="D205" s="11" t="s">
        <v>401</v>
      </c>
      <c r="E205" s="14">
        <v>0.46115</v>
      </c>
      <c r="F205" s="14">
        <v>0.46115</v>
      </c>
      <c r="G205" s="14">
        <v>0.46115</v>
      </c>
      <c r="H205" s="17">
        <f t="shared" si="9"/>
        <v>0.46115</v>
      </c>
      <c r="I205" s="15">
        <f t="shared" si="10"/>
        <v>0</v>
      </c>
      <c r="J205" s="16">
        <f t="shared" si="11"/>
        <v>0</v>
      </c>
      <c r="K205" s="6"/>
      <c r="L205" s="6"/>
      <c r="M205" s="65">
        <v>42097</v>
      </c>
      <c r="N205">
        <v>68920</v>
      </c>
      <c r="O205">
        <v>1958149</v>
      </c>
    </row>
    <row r="206" spans="1:15">
      <c r="A206" s="21" t="s">
        <v>232</v>
      </c>
      <c r="B206" s="11" t="str">
        <f>VLOOKUP(A206,[1]Scrap!$A$3:$E$4580,3,FALSE)</f>
        <v>81380101BF1</v>
      </c>
      <c r="C206" s="12" t="s">
        <v>764</v>
      </c>
      <c r="D206" s="11" t="s">
        <v>401</v>
      </c>
      <c r="E206" s="14">
        <v>0.48521164999999999</v>
      </c>
      <c r="F206" s="14">
        <v>0.48521164999999999</v>
      </c>
      <c r="G206" s="14">
        <v>0.48521164999999999</v>
      </c>
      <c r="H206" s="17">
        <f t="shared" si="9"/>
        <v>0.48521164999999999</v>
      </c>
      <c r="I206" s="15">
        <f t="shared" si="10"/>
        <v>0</v>
      </c>
      <c r="J206" s="16">
        <f t="shared" si="11"/>
        <v>0</v>
      </c>
      <c r="K206" s="6"/>
      <c r="L206" s="6"/>
      <c r="M206" s="65">
        <v>42101</v>
      </c>
      <c r="N206">
        <v>2492469</v>
      </c>
      <c r="O206">
        <v>5385433</v>
      </c>
    </row>
    <row r="207" spans="1:15">
      <c r="A207" s="10" t="s">
        <v>233</v>
      </c>
      <c r="B207" s="11" t="s">
        <v>491</v>
      </c>
      <c r="C207" s="12" t="s">
        <v>765</v>
      </c>
      <c r="D207" s="11" t="s">
        <v>401</v>
      </c>
      <c r="E207" s="14">
        <v>0.26700000000000002</v>
      </c>
      <c r="F207" s="14">
        <v>0.26700000000000002</v>
      </c>
      <c r="G207" s="14">
        <v>0.26700000000000002</v>
      </c>
      <c r="H207" s="17">
        <f t="shared" si="9"/>
        <v>0.26700000000000002</v>
      </c>
      <c r="I207" s="15">
        <f t="shared" si="10"/>
        <v>0</v>
      </c>
      <c r="J207" s="16">
        <f t="shared" si="11"/>
        <v>0</v>
      </c>
      <c r="K207" s="6"/>
      <c r="L207" s="6"/>
      <c r="M207" s="65">
        <v>42105</v>
      </c>
      <c r="N207">
        <v>11804156</v>
      </c>
      <c r="O207">
        <v>4773526</v>
      </c>
    </row>
    <row r="208" spans="1:15">
      <c r="A208" s="10" t="s">
        <v>234</v>
      </c>
      <c r="B208" s="11" t="s">
        <v>492</v>
      </c>
      <c r="C208" s="12" t="s">
        <v>766</v>
      </c>
      <c r="D208" s="11" t="s">
        <v>401</v>
      </c>
      <c r="E208" s="14">
        <v>0.49422222222222228</v>
      </c>
      <c r="F208" s="14">
        <v>0.49422222222222228</v>
      </c>
      <c r="G208" s="14">
        <v>0.49422222222222228</v>
      </c>
      <c r="H208" s="17">
        <f t="shared" si="9"/>
        <v>0.49422222222222228</v>
      </c>
      <c r="I208" s="15">
        <f t="shared" si="10"/>
        <v>0</v>
      </c>
      <c r="J208" s="16">
        <f t="shared" si="11"/>
        <v>0</v>
      </c>
      <c r="K208" s="6"/>
      <c r="L208" s="6"/>
      <c r="M208" s="65">
        <v>42109</v>
      </c>
      <c r="N208">
        <v>10123479</v>
      </c>
      <c r="O208">
        <v>8175285</v>
      </c>
    </row>
    <row r="209" spans="1:15">
      <c r="A209" s="10" t="s">
        <v>235</v>
      </c>
      <c r="B209" s="11" t="s">
        <v>493</v>
      </c>
      <c r="C209" s="12" t="s">
        <v>767</v>
      </c>
      <c r="D209" s="11" t="s">
        <v>71</v>
      </c>
      <c r="E209" s="14">
        <v>0</v>
      </c>
      <c r="F209" s="14">
        <v>0</v>
      </c>
      <c r="G209" s="14">
        <v>0.50900000000000001</v>
      </c>
      <c r="H209" s="17">
        <f t="shared" si="9"/>
        <v>0.50900000000000001</v>
      </c>
      <c r="I209" s="15">
        <f t="shared" si="10"/>
        <v>0</v>
      </c>
      <c r="J209" s="16">
        <f t="shared" si="11"/>
        <v>0</v>
      </c>
      <c r="K209" s="6"/>
      <c r="L209" s="6"/>
      <c r="M209" s="65">
        <v>42113</v>
      </c>
      <c r="N209">
        <v>258591</v>
      </c>
      <c r="O209">
        <v>1411739</v>
      </c>
    </row>
    <row r="210" spans="1:15">
      <c r="A210" s="10" t="s">
        <v>236</v>
      </c>
      <c r="B210" s="11" t="s">
        <v>494</v>
      </c>
      <c r="C210" s="12" t="s">
        <v>768</v>
      </c>
      <c r="D210" s="11" t="s">
        <v>71</v>
      </c>
      <c r="E210" s="14">
        <v>0</v>
      </c>
      <c r="F210" s="14">
        <v>0</v>
      </c>
      <c r="G210" s="14">
        <v>0.33289999999999997</v>
      </c>
      <c r="H210" s="17">
        <f t="shared" si="9"/>
        <v>0.33289999999999997</v>
      </c>
      <c r="I210" s="15">
        <f t="shared" si="10"/>
        <v>0</v>
      </c>
      <c r="J210" s="16">
        <f t="shared" si="11"/>
        <v>0</v>
      </c>
      <c r="K210" s="6"/>
      <c r="L210" s="6"/>
      <c r="M210" s="65">
        <v>42117</v>
      </c>
      <c r="N210">
        <v>246352</v>
      </c>
      <c r="O210">
        <v>1026091</v>
      </c>
    </row>
    <row r="211" spans="1:15">
      <c r="A211" s="10" t="s">
        <v>342</v>
      </c>
      <c r="B211" s="11" t="str">
        <f>VLOOKUP(A211,[1]Scrap!$A$3:$E$4580,3,FALSE)</f>
        <v>8X16001HAF1</v>
      </c>
      <c r="C211" s="12" t="s">
        <v>769</v>
      </c>
      <c r="D211" s="11" t="s">
        <v>401</v>
      </c>
      <c r="E211" s="14">
        <v>0.25534237749999994</v>
      </c>
      <c r="F211" s="14">
        <v>0.25534237749999994</v>
      </c>
      <c r="G211" s="14">
        <v>0.25534237749999994</v>
      </c>
      <c r="H211" s="17">
        <f t="shared" si="9"/>
        <v>0.23724374999999998</v>
      </c>
      <c r="I211" s="15">
        <f t="shared" si="10"/>
        <v>-1.8098627499999964E-2</v>
      </c>
      <c r="J211" s="16">
        <f t="shared" si="11"/>
        <v>-7.0879842496962608E-2</v>
      </c>
      <c r="K211" s="6"/>
      <c r="L211" s="6"/>
      <c r="M211" s="65">
        <v>42121</v>
      </c>
      <c r="N211">
        <v>12254715</v>
      </c>
      <c r="O211">
        <v>3508280</v>
      </c>
    </row>
    <row r="212" spans="1:15">
      <c r="A212" s="10" t="s">
        <v>238</v>
      </c>
      <c r="B212" s="11" t="s">
        <v>496</v>
      </c>
      <c r="C212" s="12" t="s">
        <v>770</v>
      </c>
      <c r="D212" s="11" t="s">
        <v>71</v>
      </c>
      <c r="E212" s="14">
        <v>0</v>
      </c>
      <c r="F212" s="14">
        <v>0</v>
      </c>
      <c r="G212" s="14">
        <v>0.5111</v>
      </c>
      <c r="H212" s="17">
        <f t="shared" si="9"/>
        <v>0.5111</v>
      </c>
      <c r="I212" s="15">
        <f t="shared" si="10"/>
        <v>0</v>
      </c>
      <c r="J212" s="16">
        <f t="shared" si="11"/>
        <v>0</v>
      </c>
      <c r="K212" s="6"/>
      <c r="L212" s="6"/>
      <c r="M212" s="65">
        <v>42005</v>
      </c>
      <c r="N212">
        <v>11227724</v>
      </c>
      <c r="O212">
        <v>5169450</v>
      </c>
    </row>
    <row r="213" spans="1:15">
      <c r="A213" s="10" t="s">
        <v>239</v>
      </c>
      <c r="B213" s="11" t="s">
        <v>497</v>
      </c>
      <c r="C213" s="12" t="s">
        <v>771</v>
      </c>
      <c r="D213" s="11" t="s">
        <v>71</v>
      </c>
      <c r="E213" s="14">
        <v>0</v>
      </c>
      <c r="F213" s="14">
        <v>0</v>
      </c>
      <c r="G213" s="14">
        <v>0</v>
      </c>
      <c r="H213" s="17">
        <f t="shared" si="9"/>
        <v>0.44125000000000003</v>
      </c>
      <c r="I213" s="15">
        <f t="shared" si="10"/>
        <v>0.44125000000000003</v>
      </c>
      <c r="J213" s="16">
        <f t="shared" si="11"/>
        <v>0</v>
      </c>
      <c r="K213" s="6"/>
      <c r="L213" s="6"/>
      <c r="M213" s="65">
        <v>42009</v>
      </c>
      <c r="N213">
        <v>5315215</v>
      </c>
      <c r="O213">
        <v>6264553</v>
      </c>
    </row>
    <row r="214" spans="1:15">
      <c r="A214" s="29" t="s">
        <v>240</v>
      </c>
      <c r="B214" s="30" t="s">
        <v>498</v>
      </c>
      <c r="C214" s="31" t="s">
        <v>772</v>
      </c>
      <c r="D214" s="30" t="s">
        <v>71</v>
      </c>
      <c r="E214" s="36">
        <v>0</v>
      </c>
      <c r="F214" s="36">
        <v>0</v>
      </c>
      <c r="G214" s="36">
        <v>0</v>
      </c>
      <c r="H214" s="17">
        <f t="shared" si="9"/>
        <v>0</v>
      </c>
      <c r="I214" s="15">
        <f t="shared" si="10"/>
        <v>0</v>
      </c>
      <c r="J214" s="16">
        <f t="shared" si="11"/>
        <v>0</v>
      </c>
      <c r="K214" s="35"/>
      <c r="L214" s="35"/>
      <c r="M214" s="65">
        <v>42013</v>
      </c>
      <c r="N214">
        <v>9360471</v>
      </c>
      <c r="O214">
        <v>4107562</v>
      </c>
    </row>
    <row r="215" spans="1:15">
      <c r="A215" s="10" t="s">
        <v>241</v>
      </c>
      <c r="B215" s="11" t="str">
        <f>VLOOKUP(A215,[1]Scrap!$A$3:$E$4580,3,FALSE)</f>
        <v>81400101BF1</v>
      </c>
      <c r="C215" s="12" t="s">
        <v>773</v>
      </c>
      <c r="D215" s="11" t="s">
        <v>401</v>
      </c>
      <c r="E215" s="14">
        <v>0.32426107559999995</v>
      </c>
      <c r="F215" s="14">
        <v>0.32426107559999995</v>
      </c>
      <c r="G215" s="14">
        <v>0.32426107559999995</v>
      </c>
      <c r="H215" s="17">
        <f t="shared" si="9"/>
        <v>0.32426107559999995</v>
      </c>
      <c r="I215" s="15">
        <f t="shared" si="10"/>
        <v>0</v>
      </c>
      <c r="J215" s="16">
        <f t="shared" si="11"/>
        <v>0</v>
      </c>
      <c r="K215" s="25"/>
      <c r="L215" s="25"/>
      <c r="M215" s="65">
        <v>42017</v>
      </c>
      <c r="N215">
        <v>1402953</v>
      </c>
      <c r="O215">
        <v>10998226</v>
      </c>
    </row>
    <row r="216" spans="1:15">
      <c r="A216" s="10" t="s">
        <v>351</v>
      </c>
      <c r="B216" s="11" t="str">
        <f>VLOOKUP(A216,[1]Scrap!$A$3:$E$4580,3,FALSE)</f>
        <v>8X16003EAF1</v>
      </c>
      <c r="C216" s="12" t="s">
        <v>774</v>
      </c>
      <c r="D216" s="11" t="s">
        <v>401</v>
      </c>
      <c r="E216" s="37">
        <v>0.18</v>
      </c>
      <c r="F216" s="37">
        <v>0.153</v>
      </c>
      <c r="G216" s="37">
        <v>0.153</v>
      </c>
      <c r="H216" s="17">
        <f t="shared" si="9"/>
        <v>0.1426611111111111</v>
      </c>
      <c r="I216" s="15">
        <f t="shared" si="10"/>
        <v>-1.0338888888888897E-2</v>
      </c>
      <c r="J216" s="16">
        <f t="shared" si="11"/>
        <v>-6.7574437182280372E-2</v>
      </c>
      <c r="K216" s="6"/>
      <c r="L216" s="6"/>
      <c r="M216" s="65">
        <v>42021</v>
      </c>
      <c r="N216">
        <v>6428761</v>
      </c>
      <c r="O216">
        <v>7912809</v>
      </c>
    </row>
    <row r="217" spans="1:15">
      <c r="A217" s="10" t="s">
        <v>243</v>
      </c>
      <c r="B217" s="11" t="s">
        <v>500</v>
      </c>
      <c r="C217" s="12" t="s">
        <v>775</v>
      </c>
      <c r="D217" s="11" t="s">
        <v>71</v>
      </c>
      <c r="E217" s="14">
        <v>0</v>
      </c>
      <c r="F217" s="14">
        <v>0</v>
      </c>
      <c r="G217" s="14">
        <v>0.53300000000000003</v>
      </c>
      <c r="H217" s="17">
        <f t="shared" si="9"/>
        <v>0.53300000000000003</v>
      </c>
      <c r="I217" s="15">
        <f t="shared" si="10"/>
        <v>0</v>
      </c>
      <c r="J217" s="16">
        <f t="shared" si="11"/>
        <v>0</v>
      </c>
      <c r="K217" s="6"/>
      <c r="L217" s="6"/>
      <c r="M217" s="65">
        <v>42025</v>
      </c>
      <c r="N217">
        <v>1602240</v>
      </c>
      <c r="O217">
        <v>7591366</v>
      </c>
    </row>
    <row r="218" spans="1:15">
      <c r="A218" s="21" t="s">
        <v>169</v>
      </c>
      <c r="B218" s="11" t="str">
        <f>VLOOKUP(A218,[1]Scrap!$A$3:$E$4580,3,FALSE)</f>
        <v>80781204CF1</v>
      </c>
      <c r="C218" s="12" t="s">
        <v>776</v>
      </c>
      <c r="D218" s="11" t="s">
        <v>401</v>
      </c>
      <c r="E218" s="20">
        <v>0.15015000000000001</v>
      </c>
      <c r="F218" s="20">
        <v>0.15015000000000001</v>
      </c>
      <c r="G218" s="20">
        <v>0.15015000000000001</v>
      </c>
      <c r="H218" s="17">
        <f t="shared" si="9"/>
        <v>0.14006730769230769</v>
      </c>
      <c r="I218" s="15">
        <f t="shared" si="10"/>
        <v>-1.008269230769232E-2</v>
      </c>
      <c r="J218" s="16">
        <f t="shared" si="11"/>
        <v>-6.7150797920028774E-2</v>
      </c>
      <c r="K218" s="9"/>
      <c r="L218" s="9"/>
      <c r="M218" s="65">
        <v>42029</v>
      </c>
      <c r="N218">
        <v>9712107</v>
      </c>
      <c r="O218">
        <v>5768182</v>
      </c>
    </row>
    <row r="219" spans="1:15">
      <c r="A219" s="10" t="s">
        <v>245</v>
      </c>
      <c r="B219" s="11" t="s">
        <v>502</v>
      </c>
      <c r="C219" s="12" t="s">
        <v>777</v>
      </c>
      <c r="D219" s="11" t="s">
        <v>71</v>
      </c>
      <c r="E219" s="20">
        <v>0.43326666666666669</v>
      </c>
      <c r="F219" s="20">
        <v>0.43326666666666669</v>
      </c>
      <c r="G219" s="20">
        <v>0</v>
      </c>
      <c r="H219" s="17">
        <f t="shared" si="9"/>
        <v>0</v>
      </c>
      <c r="I219" s="15">
        <f t="shared" si="10"/>
        <v>0</v>
      </c>
      <c r="J219" s="16">
        <f t="shared" si="11"/>
        <v>0</v>
      </c>
      <c r="K219" s="6"/>
      <c r="L219" s="6"/>
      <c r="M219" s="65">
        <v>42033</v>
      </c>
      <c r="N219">
        <v>4110687</v>
      </c>
      <c r="O219">
        <v>4760054</v>
      </c>
    </row>
    <row r="220" spans="1:15">
      <c r="A220" s="21" t="s">
        <v>171</v>
      </c>
      <c r="B220" s="11" t="str">
        <f>VLOOKUP(A220,[1]Scrap!$A$3:$E$4580,3,FALSE)</f>
        <v>80781704GF1</v>
      </c>
      <c r="C220" s="12" t="s">
        <v>778</v>
      </c>
      <c r="D220" s="11" t="s">
        <v>401</v>
      </c>
      <c r="E220" s="20">
        <v>0.24845909090909091</v>
      </c>
      <c r="F220" s="20">
        <v>0.24845909090909091</v>
      </c>
      <c r="G220" s="20">
        <v>0.24845909090909091</v>
      </c>
      <c r="H220" s="17">
        <f t="shared" si="9"/>
        <v>0.23245625</v>
      </c>
      <c r="I220" s="15">
        <f t="shared" si="10"/>
        <v>-1.6002840909090904E-2</v>
      </c>
      <c r="J220" s="16">
        <f t="shared" si="11"/>
        <v>-6.4408353304915733E-2</v>
      </c>
      <c r="K220" s="9"/>
      <c r="L220" s="9"/>
      <c r="M220" s="65">
        <v>42037</v>
      </c>
      <c r="N220">
        <v>12283864</v>
      </c>
      <c r="O220">
        <v>11491537</v>
      </c>
    </row>
    <row r="221" spans="1:15">
      <c r="A221" s="21" t="s">
        <v>247</v>
      </c>
      <c r="B221" s="11" t="str">
        <f>VLOOKUP(A221,[1]Scrap!$A$3:$E$4580,3,FALSE)</f>
        <v>8X12106MAF1</v>
      </c>
      <c r="C221" s="12" t="s">
        <v>779</v>
      </c>
      <c r="D221" s="11" t="s">
        <v>401</v>
      </c>
      <c r="E221" s="20">
        <v>0.2044</v>
      </c>
      <c r="F221" s="20">
        <v>0.2044</v>
      </c>
      <c r="G221" s="20">
        <v>0.2044</v>
      </c>
      <c r="H221" s="17">
        <f t="shared" si="9"/>
        <v>0.20518300000000003</v>
      </c>
      <c r="I221" s="15">
        <f t="shared" si="10"/>
        <v>7.8300000000003367E-4</v>
      </c>
      <c r="J221" s="16">
        <f t="shared" si="11"/>
        <v>3.8307240704502626E-3</v>
      </c>
      <c r="K221" s="6"/>
      <c r="L221" s="6"/>
      <c r="M221" s="65">
        <v>42041</v>
      </c>
      <c r="N221">
        <v>7008376</v>
      </c>
      <c r="O221">
        <v>6533956</v>
      </c>
    </row>
    <row r="222" spans="1:15">
      <c r="A222" s="21" t="s">
        <v>248</v>
      </c>
      <c r="B222" s="11" t="str">
        <f>VLOOKUP(A222,[1]Scrap!$A$3:$E$4580,3,FALSE)</f>
        <v>8X12106NAF1</v>
      </c>
      <c r="C222" s="12" t="s">
        <v>780</v>
      </c>
      <c r="D222" s="11" t="s">
        <v>401</v>
      </c>
      <c r="E222" s="14">
        <v>0.55244743589743595</v>
      </c>
      <c r="F222" s="14">
        <v>0.55244743589743595</v>
      </c>
      <c r="G222" s="14">
        <v>0.55244743589743595</v>
      </c>
      <c r="H222" s="17">
        <f t="shared" si="9"/>
        <v>0.55244743589743595</v>
      </c>
      <c r="I222" s="15">
        <f t="shared" si="10"/>
        <v>0</v>
      </c>
      <c r="J222" s="16">
        <f t="shared" si="11"/>
        <v>0</v>
      </c>
      <c r="K222" s="6"/>
      <c r="L222" s="6"/>
      <c r="M222" s="65">
        <v>42045</v>
      </c>
      <c r="N222">
        <v>2736981</v>
      </c>
      <c r="O222">
        <v>11442651</v>
      </c>
    </row>
    <row r="223" spans="1:15">
      <c r="A223" s="21" t="s">
        <v>249</v>
      </c>
      <c r="B223" s="11" t="str">
        <f>VLOOKUP(A223,[1]Scrap!$A$3:$E$4580,3,FALSE)</f>
        <v>8X12106OAF1</v>
      </c>
      <c r="C223" s="12" t="s">
        <v>781</v>
      </c>
      <c r="D223" s="11" t="s">
        <v>401</v>
      </c>
      <c r="E223" s="14">
        <v>0.20837500000000003</v>
      </c>
      <c r="F223" s="14">
        <v>0.20837500000000003</v>
      </c>
      <c r="G223" s="14">
        <v>0.20837500000000003</v>
      </c>
      <c r="H223" s="17">
        <f t="shared" si="9"/>
        <v>0.20837500000000003</v>
      </c>
      <c r="I223" s="15">
        <f t="shared" si="10"/>
        <v>0</v>
      </c>
      <c r="J223" s="16">
        <f t="shared" si="11"/>
        <v>0</v>
      </c>
      <c r="K223" s="6"/>
      <c r="L223" s="6"/>
      <c r="M223" s="65">
        <v>42049</v>
      </c>
      <c r="N223">
        <v>507001</v>
      </c>
      <c r="O223">
        <v>9286333</v>
      </c>
    </row>
    <row r="224" spans="1:15">
      <c r="A224" s="21" t="s">
        <v>250</v>
      </c>
      <c r="B224" s="11" t="str">
        <f>VLOOKUP(A224,[1]Scrap!$A$3:$E$4580,3,FALSE)</f>
        <v>8X12106QAF1</v>
      </c>
      <c r="C224" s="12" t="s">
        <v>782</v>
      </c>
      <c r="D224" s="11" t="s">
        <v>401</v>
      </c>
      <c r="E224" s="20">
        <v>0.55854000000000004</v>
      </c>
      <c r="F224" s="20">
        <v>0.55854000000000004</v>
      </c>
      <c r="G224" s="20">
        <v>0.55854000000000004</v>
      </c>
      <c r="H224" s="17">
        <f t="shared" si="9"/>
        <v>0.55854000000000004</v>
      </c>
      <c r="I224" s="15">
        <f t="shared" si="10"/>
        <v>0</v>
      </c>
      <c r="J224" s="16">
        <f t="shared" si="11"/>
        <v>0</v>
      </c>
      <c r="K224" s="6"/>
      <c r="L224" s="6"/>
      <c r="M224" s="65">
        <v>42053</v>
      </c>
      <c r="N224">
        <v>8448024</v>
      </c>
      <c r="O224">
        <v>2149590</v>
      </c>
    </row>
    <row r="225" spans="1:15">
      <c r="A225" s="10" t="s">
        <v>399</v>
      </c>
      <c r="B225" s="11" t="s">
        <v>559</v>
      </c>
      <c r="C225" s="12" t="s">
        <v>783</v>
      </c>
      <c r="D225" s="11" t="s">
        <v>401</v>
      </c>
      <c r="E225" s="20">
        <v>0.45449999999999996</v>
      </c>
      <c r="F225" s="20">
        <v>0.45449999999999996</v>
      </c>
      <c r="G225" s="20">
        <v>0.46300000000000002</v>
      </c>
      <c r="H225" s="17">
        <f t="shared" si="9"/>
        <v>0.4345</v>
      </c>
      <c r="I225" s="15">
        <f t="shared" si="10"/>
        <v>-2.8500000000000025E-2</v>
      </c>
      <c r="J225" s="16">
        <f t="shared" si="11"/>
        <v>-6.1555075593952534E-2</v>
      </c>
      <c r="K225" s="6"/>
      <c r="L225" s="6"/>
      <c r="M225" s="65">
        <v>42057</v>
      </c>
      <c r="N225">
        <v>8600851</v>
      </c>
      <c r="O225">
        <v>8830192</v>
      </c>
    </row>
    <row r="226" spans="1:15">
      <c r="A226" s="21" t="s">
        <v>252</v>
      </c>
      <c r="B226" s="11" t="str">
        <f>VLOOKUP(A226,[1]Scrap!$A$3:$E$4580,3,FALSE)</f>
        <v>8X12107KAF1</v>
      </c>
      <c r="C226" s="12" t="s">
        <v>784</v>
      </c>
      <c r="D226" s="11" t="s">
        <v>401</v>
      </c>
      <c r="E226" s="14">
        <v>0.22489710999999998</v>
      </c>
      <c r="F226" s="14">
        <v>0.22489710999999998</v>
      </c>
      <c r="G226" s="14">
        <v>0.22489710999999998</v>
      </c>
      <c r="H226" s="17">
        <f t="shared" si="9"/>
        <v>0.22489710999999998</v>
      </c>
      <c r="I226" s="15">
        <f t="shared" si="10"/>
        <v>0</v>
      </c>
      <c r="J226" s="16">
        <f t="shared" si="11"/>
        <v>0</v>
      </c>
      <c r="K226" s="6"/>
      <c r="L226" s="6"/>
      <c r="M226" s="65">
        <v>42061</v>
      </c>
      <c r="N226">
        <v>6990474</v>
      </c>
      <c r="O226">
        <v>5279206</v>
      </c>
    </row>
    <row r="227" spans="1:15">
      <c r="A227" s="21" t="s">
        <v>310</v>
      </c>
      <c r="B227" s="11" t="str">
        <f>VLOOKUP(A227,[1]Scrap!$A$3:$E$4580,3,FALSE)</f>
        <v>8X13101AAF1</v>
      </c>
      <c r="C227" s="12" t="s">
        <v>785</v>
      </c>
      <c r="D227" s="11" t="s">
        <v>401</v>
      </c>
      <c r="E227" s="14">
        <v>0.1232</v>
      </c>
      <c r="F227" s="14">
        <v>0.13700000000000001</v>
      </c>
      <c r="G227" s="14">
        <v>0.13700000000000001</v>
      </c>
      <c r="H227" s="17">
        <f t="shared" si="9"/>
        <v>0.12968392857142857</v>
      </c>
      <c r="I227" s="15">
        <f t="shared" si="10"/>
        <v>-7.3160714285714357E-3</v>
      </c>
      <c r="J227" s="16">
        <f t="shared" si="11"/>
        <v>-5.3401981230448432E-2</v>
      </c>
      <c r="K227" s="27"/>
      <c r="L227" s="27"/>
      <c r="M227" s="65">
        <v>42065</v>
      </c>
      <c r="N227">
        <v>2601580</v>
      </c>
      <c r="O227">
        <v>11247951</v>
      </c>
    </row>
    <row r="228" spans="1:15">
      <c r="A228" s="21" t="s">
        <v>392</v>
      </c>
      <c r="B228" s="11" t="str">
        <f>VLOOKUP(A228,[1]Scrap!$A$3:$E$4580,3,FALSE)</f>
        <v>8X33216AAF1</v>
      </c>
      <c r="C228" s="12" t="s">
        <v>786</v>
      </c>
      <c r="D228" s="11" t="s">
        <v>401</v>
      </c>
      <c r="E228" s="20">
        <v>0.57331999999999994</v>
      </c>
      <c r="F228" s="20">
        <v>0.60199999999999998</v>
      </c>
      <c r="G228" s="20">
        <v>0.60199999999999998</v>
      </c>
      <c r="H228" s="17">
        <f t="shared" si="9"/>
        <v>0.57029411764705873</v>
      </c>
      <c r="I228" s="15">
        <f t="shared" si="10"/>
        <v>-3.170588235294125E-2</v>
      </c>
      <c r="J228" s="16">
        <f t="shared" si="11"/>
        <v>-5.2667578659370849E-2</v>
      </c>
      <c r="K228" s="9"/>
      <c r="L228" s="9"/>
      <c r="M228" s="65">
        <v>42069</v>
      </c>
      <c r="N228">
        <v>6118963</v>
      </c>
      <c r="O228">
        <v>5668345</v>
      </c>
    </row>
    <row r="229" spans="1:15">
      <c r="A229" s="21" t="s">
        <v>20</v>
      </c>
      <c r="B229" s="11" t="str">
        <f>VLOOKUP(A229,[1]Scrap!$A$3:$E$4580,3,FALSE)</f>
        <v>80110401DF1</v>
      </c>
      <c r="C229" s="12" t="s">
        <v>787</v>
      </c>
      <c r="D229" s="11" t="s">
        <v>401</v>
      </c>
      <c r="E229" s="20">
        <v>0.73490999999999995</v>
      </c>
      <c r="F229" s="20">
        <v>0.73490999999999995</v>
      </c>
      <c r="G229" s="20">
        <v>0.73490999999999995</v>
      </c>
      <c r="H229" s="17">
        <f t="shared" si="9"/>
        <v>0.69623437499999985</v>
      </c>
      <c r="I229" s="15">
        <f t="shared" si="10"/>
        <v>-3.8675625000000102E-2</v>
      </c>
      <c r="J229" s="16">
        <f t="shared" si="11"/>
        <v>-5.2626342001061498E-2</v>
      </c>
      <c r="K229" s="18" t="s">
        <v>220</v>
      </c>
      <c r="L229" s="19">
        <v>0.26245833333333329</v>
      </c>
      <c r="M229" s="65">
        <v>42073</v>
      </c>
      <c r="N229">
        <v>2036350</v>
      </c>
      <c r="O229">
        <v>1760879</v>
      </c>
    </row>
    <row r="230" spans="1:15">
      <c r="A230" s="21" t="s">
        <v>343</v>
      </c>
      <c r="B230" s="11" t="str">
        <f>VLOOKUP(A230,[1]Scrap!$A$3:$E$4580,3,FALSE)</f>
        <v>8X16001IAF1</v>
      </c>
      <c r="C230" s="12" t="s">
        <v>788</v>
      </c>
      <c r="D230" s="11" t="s">
        <v>401</v>
      </c>
      <c r="E230" s="20">
        <v>0.41316666666666668</v>
      </c>
      <c r="F230" s="20">
        <v>0.41316666666666668</v>
      </c>
      <c r="G230" s="20">
        <v>0.41316666666666668</v>
      </c>
      <c r="H230" s="17">
        <f t="shared" si="9"/>
        <v>0.39187499999999997</v>
      </c>
      <c r="I230" s="15">
        <f t="shared" si="10"/>
        <v>-2.1291666666666709E-2</v>
      </c>
      <c r="J230" s="16">
        <f t="shared" si="11"/>
        <v>-5.1532876159741933E-2</v>
      </c>
      <c r="K230" s="6"/>
      <c r="L230" s="6"/>
      <c r="M230" s="65">
        <v>42077</v>
      </c>
      <c r="N230">
        <v>11156498</v>
      </c>
      <c r="O230">
        <v>4959133</v>
      </c>
    </row>
    <row r="231" spans="1:15">
      <c r="A231" s="21" t="s">
        <v>257</v>
      </c>
      <c r="B231" s="11" t="str">
        <f>VLOOKUP(A231,[1]Scrap!$A$3:$E$4580,3,FALSE)</f>
        <v>8X12110GAF1</v>
      </c>
      <c r="C231" s="12" t="s">
        <v>789</v>
      </c>
      <c r="D231" s="11" t="s">
        <v>401</v>
      </c>
      <c r="E231" s="14">
        <v>0.33301860500000002</v>
      </c>
      <c r="F231" s="14">
        <v>0.33301860500000002</v>
      </c>
      <c r="G231" s="14">
        <v>0.33301860500000002</v>
      </c>
      <c r="H231" s="17">
        <f t="shared" si="9"/>
        <v>0.33301860500000002</v>
      </c>
      <c r="I231" s="15">
        <f t="shared" si="10"/>
        <v>0</v>
      </c>
      <c r="J231" s="16">
        <f t="shared" si="11"/>
        <v>0</v>
      </c>
      <c r="K231" s="6"/>
      <c r="L231" s="6"/>
      <c r="M231" s="65">
        <v>42081</v>
      </c>
      <c r="N231">
        <v>6865403</v>
      </c>
      <c r="O231">
        <v>6636887</v>
      </c>
    </row>
    <row r="232" spans="1:15">
      <c r="A232" s="21" t="s">
        <v>258</v>
      </c>
      <c r="B232" s="11" t="str">
        <f>VLOOKUP(A232,[1]Scrap!$A$3:$E$4580,3,FALSE)</f>
        <v>8X12110HAF1</v>
      </c>
      <c r="C232" s="12" t="s">
        <v>790</v>
      </c>
      <c r="D232" s="11" t="s">
        <v>71</v>
      </c>
      <c r="E232" s="14">
        <v>0</v>
      </c>
      <c r="F232" s="14">
        <v>0</v>
      </c>
      <c r="G232" s="14">
        <v>0.495</v>
      </c>
      <c r="H232" s="17">
        <f t="shared" si="9"/>
        <v>0.495</v>
      </c>
      <c r="I232" s="15">
        <f t="shared" si="10"/>
        <v>0</v>
      </c>
      <c r="J232" s="16">
        <f t="shared" si="11"/>
        <v>0</v>
      </c>
      <c r="K232" s="6"/>
      <c r="L232" s="6"/>
      <c r="M232" s="65">
        <v>42085</v>
      </c>
      <c r="N232">
        <v>4761304</v>
      </c>
      <c r="O232">
        <v>5330829</v>
      </c>
    </row>
    <row r="233" spans="1:15">
      <c r="A233" s="21" t="s">
        <v>259</v>
      </c>
      <c r="B233" s="11" t="str">
        <f>VLOOKUP(A233,[1]Scrap!$A$3:$E$4580,3,FALSE)</f>
        <v>8X12110IAF1</v>
      </c>
      <c r="C233" s="12" t="s">
        <v>791</v>
      </c>
      <c r="D233" s="11" t="s">
        <v>401</v>
      </c>
      <c r="E233" s="14">
        <v>0.17931630000000001</v>
      </c>
      <c r="F233" s="14">
        <v>0.17931630000000001</v>
      </c>
      <c r="G233" s="14">
        <v>0.17931630000000001</v>
      </c>
      <c r="H233" s="17">
        <f t="shared" si="9"/>
        <v>0.17931630000000001</v>
      </c>
      <c r="I233" s="15">
        <f t="shared" si="10"/>
        <v>0</v>
      </c>
      <c r="J233" s="16">
        <f t="shared" si="11"/>
        <v>0</v>
      </c>
      <c r="K233" s="6"/>
      <c r="L233" s="6"/>
      <c r="M233" s="65">
        <v>42089</v>
      </c>
      <c r="N233">
        <v>7926400</v>
      </c>
      <c r="O233">
        <v>10142661</v>
      </c>
    </row>
    <row r="234" spans="1:15">
      <c r="A234" s="21" t="s">
        <v>260</v>
      </c>
      <c r="B234" s="11" t="str">
        <f>VLOOKUP(A234,[1]Scrap!$A$3:$E$4580,3,FALSE)</f>
        <v>8X12110JAF1</v>
      </c>
      <c r="C234" s="12" t="s">
        <v>792</v>
      </c>
      <c r="D234" s="11" t="s">
        <v>401</v>
      </c>
      <c r="E234" s="14">
        <v>0.18050807499999999</v>
      </c>
      <c r="F234" s="14">
        <v>0.18050807499999999</v>
      </c>
      <c r="G234" s="14">
        <v>0.18050807499999999</v>
      </c>
      <c r="H234" s="17">
        <f t="shared" si="9"/>
        <v>0.18050807499999999</v>
      </c>
      <c r="I234" s="15">
        <f t="shared" si="10"/>
        <v>0</v>
      </c>
      <c r="J234" s="16">
        <f t="shared" si="11"/>
        <v>0</v>
      </c>
      <c r="K234" s="6"/>
      <c r="L234" s="6"/>
      <c r="M234" s="65">
        <v>42093</v>
      </c>
      <c r="N234">
        <v>11938130</v>
      </c>
      <c r="O234">
        <v>1593467</v>
      </c>
    </row>
    <row r="235" spans="1:15">
      <c r="A235" s="10" t="s">
        <v>15</v>
      </c>
      <c r="B235" s="11" t="str">
        <f>VLOOKUP(A235,[1]Scrap!$A$3:$E$4580,3,FALSE)</f>
        <v>80100401EF1</v>
      </c>
      <c r="C235" s="12" t="s">
        <v>793</v>
      </c>
      <c r="D235" s="11" t="s">
        <v>401</v>
      </c>
      <c r="E235" s="20">
        <v>0.26764166666666672</v>
      </c>
      <c r="F235" s="20">
        <v>0.26764166666666672</v>
      </c>
      <c r="G235" s="20">
        <v>0.26764166666666672</v>
      </c>
      <c r="H235" s="17">
        <f t="shared" si="9"/>
        <v>0.2560260416666667</v>
      </c>
      <c r="I235" s="15">
        <f t="shared" si="10"/>
        <v>-1.1615625000000018E-2</v>
      </c>
      <c r="J235" s="16">
        <f t="shared" si="11"/>
        <v>-4.3399912818756478E-2</v>
      </c>
      <c r="K235" s="18" t="s">
        <v>215</v>
      </c>
      <c r="L235" s="19">
        <v>0.18233611111111112</v>
      </c>
      <c r="M235" s="65">
        <v>42097</v>
      </c>
      <c r="N235">
        <v>451369</v>
      </c>
      <c r="O235">
        <v>5919802</v>
      </c>
    </row>
    <row r="236" spans="1:15">
      <c r="A236" s="10" t="s">
        <v>262</v>
      </c>
      <c r="B236" s="11" t="s">
        <v>506</v>
      </c>
      <c r="C236" s="12" t="s">
        <v>794</v>
      </c>
      <c r="D236" s="11" t="s">
        <v>401</v>
      </c>
      <c r="E236" s="20">
        <v>8.0500000000000002E-2</v>
      </c>
      <c r="F236" s="20">
        <v>8.0500000000000002E-2</v>
      </c>
      <c r="G236" s="20">
        <v>8.0500000000000002E-2</v>
      </c>
      <c r="H236" s="17">
        <f t="shared" si="9"/>
        <v>8.0500000000000002E-2</v>
      </c>
      <c r="I236" s="15">
        <f t="shared" si="10"/>
        <v>0</v>
      </c>
      <c r="J236" s="16">
        <f t="shared" si="11"/>
        <v>0</v>
      </c>
      <c r="K236" s="6"/>
      <c r="L236" s="6"/>
      <c r="M236" s="65">
        <v>42101</v>
      </c>
      <c r="N236">
        <v>11924607</v>
      </c>
      <c r="O236">
        <v>232577</v>
      </c>
    </row>
    <row r="237" spans="1:15">
      <c r="A237" s="10" t="s">
        <v>263</v>
      </c>
      <c r="B237" s="11" t="s">
        <v>507</v>
      </c>
      <c r="C237" s="12" t="s">
        <v>795</v>
      </c>
      <c r="D237" s="11" t="s">
        <v>71</v>
      </c>
      <c r="E237" s="14">
        <v>0</v>
      </c>
      <c r="F237" s="14">
        <v>0</v>
      </c>
      <c r="G237" s="14">
        <v>5.1999999999999998E-2</v>
      </c>
      <c r="H237" s="17">
        <f t="shared" si="9"/>
        <v>5.1999999999999998E-2</v>
      </c>
      <c r="I237" s="15">
        <f t="shared" si="10"/>
        <v>0</v>
      </c>
      <c r="J237" s="16">
        <f t="shared" si="11"/>
        <v>0</v>
      </c>
      <c r="K237" s="6"/>
      <c r="L237" s="6"/>
      <c r="M237" s="65">
        <v>42105</v>
      </c>
      <c r="N237">
        <v>12239790</v>
      </c>
      <c r="O237">
        <v>6606006</v>
      </c>
    </row>
    <row r="238" spans="1:15">
      <c r="A238" s="10" t="s">
        <v>264</v>
      </c>
      <c r="B238" s="11" t="s">
        <v>508</v>
      </c>
      <c r="C238" s="12" t="s">
        <v>796</v>
      </c>
      <c r="D238" s="11" t="s">
        <v>71</v>
      </c>
      <c r="E238" s="14">
        <v>0</v>
      </c>
      <c r="F238" s="14">
        <v>0</v>
      </c>
      <c r="G238" s="14">
        <v>0</v>
      </c>
      <c r="H238" s="17">
        <f t="shared" si="9"/>
        <v>0</v>
      </c>
      <c r="I238" s="15">
        <f t="shared" si="10"/>
        <v>0</v>
      </c>
      <c r="J238" s="16">
        <f t="shared" si="11"/>
        <v>0</v>
      </c>
      <c r="K238" s="6"/>
      <c r="L238" s="6"/>
      <c r="M238" s="65">
        <v>42109</v>
      </c>
      <c r="N238">
        <v>2206000</v>
      </c>
      <c r="O238">
        <v>9555723</v>
      </c>
    </row>
    <row r="239" spans="1:15">
      <c r="A239" s="21" t="s">
        <v>251</v>
      </c>
      <c r="B239" s="11" t="str">
        <f>VLOOKUP(A239,[1]Scrap!$A$3:$E$4580,3,FALSE)</f>
        <v>8X12107JAF1</v>
      </c>
      <c r="C239" s="12" t="s">
        <v>797</v>
      </c>
      <c r="D239" s="11" t="s">
        <v>401</v>
      </c>
      <c r="E239" s="20">
        <v>0.2044</v>
      </c>
      <c r="F239" s="20">
        <v>0.2044</v>
      </c>
      <c r="G239" s="20">
        <v>0.2044</v>
      </c>
      <c r="H239" s="17">
        <f t="shared" si="9"/>
        <v>0.19569907407407405</v>
      </c>
      <c r="I239" s="15">
        <f t="shared" si="10"/>
        <v>-8.7009259259259453E-3</v>
      </c>
      <c r="J239" s="16">
        <f t="shared" si="11"/>
        <v>-4.2568130753062358E-2</v>
      </c>
      <c r="K239" s="6"/>
      <c r="L239" s="6"/>
      <c r="M239" s="65">
        <v>42113</v>
      </c>
      <c r="N239">
        <v>7690200</v>
      </c>
      <c r="O239">
        <v>6370222</v>
      </c>
    </row>
    <row r="240" spans="1:15">
      <c r="A240" s="21" t="s">
        <v>266</v>
      </c>
      <c r="B240" s="11" t="s">
        <v>509</v>
      </c>
      <c r="C240" s="12" t="s">
        <v>798</v>
      </c>
      <c r="D240" s="11" t="s">
        <v>401</v>
      </c>
      <c r="E240" s="20">
        <v>0</v>
      </c>
      <c r="F240" s="20">
        <v>0.16470000000000001</v>
      </c>
      <c r="G240" s="20">
        <v>0.16470000000000001</v>
      </c>
      <c r="H240" s="17">
        <f t="shared" si="9"/>
        <v>0.16470000000000001</v>
      </c>
      <c r="I240" s="15">
        <f t="shared" si="10"/>
        <v>0</v>
      </c>
      <c r="J240" s="16">
        <f t="shared" si="11"/>
        <v>0</v>
      </c>
      <c r="K240" s="6"/>
      <c r="L240" s="6"/>
      <c r="M240" s="65">
        <v>42117</v>
      </c>
      <c r="N240">
        <v>7228973</v>
      </c>
      <c r="O240">
        <v>7478920</v>
      </c>
    </row>
    <row r="241" spans="1:15">
      <c r="A241" s="21" t="s">
        <v>267</v>
      </c>
      <c r="B241" s="11" t="str">
        <f>VLOOKUP(A241,[1]Scrap!$A$3:$E$4580,3,FALSE)</f>
        <v>8X12121BAF1</v>
      </c>
      <c r="C241" s="12" t="s">
        <v>799</v>
      </c>
      <c r="D241" s="11" t="s">
        <v>401</v>
      </c>
      <c r="E241" s="14">
        <v>0.14404687500000002</v>
      </c>
      <c r="F241" s="14">
        <v>0.14404687500000002</v>
      </c>
      <c r="G241" s="14">
        <v>0.14404687500000002</v>
      </c>
      <c r="H241" s="17">
        <f t="shared" si="9"/>
        <v>0.14404687500000002</v>
      </c>
      <c r="I241" s="15">
        <f t="shared" si="10"/>
        <v>0</v>
      </c>
      <c r="J241" s="16">
        <f t="shared" si="11"/>
        <v>0</v>
      </c>
      <c r="K241" s="6"/>
      <c r="L241" s="6"/>
      <c r="M241" s="65">
        <v>42121</v>
      </c>
      <c r="N241">
        <v>9671622</v>
      </c>
      <c r="O241">
        <v>481484</v>
      </c>
    </row>
    <row r="242" spans="1:15">
      <c r="A242" s="10" t="s">
        <v>268</v>
      </c>
      <c r="B242" s="11" t="s">
        <v>510</v>
      </c>
      <c r="C242" s="12" t="s">
        <v>800</v>
      </c>
      <c r="D242" s="11" t="s">
        <v>401</v>
      </c>
      <c r="E242" s="20">
        <v>0.12189999999999999</v>
      </c>
      <c r="F242" s="20">
        <v>0.12189999999999999</v>
      </c>
      <c r="G242" s="20">
        <v>0.12189999999999999</v>
      </c>
      <c r="H242" s="17">
        <f t="shared" si="9"/>
        <v>0.12189999999999999</v>
      </c>
      <c r="I242" s="15">
        <f t="shared" si="10"/>
        <v>0</v>
      </c>
      <c r="J242" s="16">
        <f t="shared" si="11"/>
        <v>0</v>
      </c>
      <c r="K242" s="6"/>
      <c r="L242" s="6"/>
      <c r="M242" s="65">
        <v>42005</v>
      </c>
      <c r="N242">
        <v>8190578</v>
      </c>
      <c r="O242">
        <v>9208794</v>
      </c>
    </row>
    <row r="243" spans="1:15">
      <c r="A243" s="10" t="s">
        <v>269</v>
      </c>
      <c r="B243" s="11" t="s">
        <v>511</v>
      </c>
      <c r="C243" s="12" t="s">
        <v>801</v>
      </c>
      <c r="D243" s="11" t="s">
        <v>401</v>
      </c>
      <c r="E243" s="14">
        <v>0.1165375</v>
      </c>
      <c r="F243" s="14">
        <v>0.1165375</v>
      </c>
      <c r="G243" s="14">
        <v>0.1165375</v>
      </c>
      <c r="H243" s="17">
        <f t="shared" si="9"/>
        <v>0.1165375</v>
      </c>
      <c r="I243" s="15">
        <f t="shared" si="10"/>
        <v>0</v>
      </c>
      <c r="J243" s="16">
        <f t="shared" si="11"/>
        <v>0</v>
      </c>
      <c r="K243" s="6"/>
      <c r="L243" s="6"/>
      <c r="M243" s="65">
        <v>42009</v>
      </c>
      <c r="N243">
        <v>8439464</v>
      </c>
      <c r="O243">
        <v>5862275</v>
      </c>
    </row>
    <row r="244" spans="1:15">
      <c r="A244" s="10" t="s">
        <v>270</v>
      </c>
      <c r="B244" s="11" t="s">
        <v>512</v>
      </c>
      <c r="C244" s="12" t="s">
        <v>802</v>
      </c>
      <c r="D244" s="11" t="s">
        <v>71</v>
      </c>
      <c r="E244" s="14">
        <v>0.1165375</v>
      </c>
      <c r="F244" s="14">
        <v>0.1165375</v>
      </c>
      <c r="G244" s="14">
        <v>0</v>
      </c>
      <c r="H244" s="17">
        <f t="shared" si="9"/>
        <v>4.0433333333333335E-2</v>
      </c>
      <c r="I244" s="15">
        <f t="shared" si="10"/>
        <v>4.0433333333333335E-2</v>
      </c>
      <c r="J244" s="16">
        <f t="shared" si="11"/>
        <v>0</v>
      </c>
      <c r="K244" s="6"/>
      <c r="L244" s="6"/>
      <c r="M244" s="65">
        <v>42013</v>
      </c>
      <c r="N244">
        <v>7025064</v>
      </c>
      <c r="O244">
        <v>9466940</v>
      </c>
    </row>
    <row r="245" spans="1:15">
      <c r="A245" s="21" t="s">
        <v>276</v>
      </c>
      <c r="B245" s="11" t="str">
        <f>VLOOKUP(A245,[1]Scrap!$A$3:$E$4580,3,FALSE)</f>
        <v>8X12406CAF1</v>
      </c>
      <c r="C245" s="12" t="s">
        <v>803</v>
      </c>
      <c r="D245" s="11" t="s">
        <v>401</v>
      </c>
      <c r="E245" s="20">
        <v>0.10081111111111112</v>
      </c>
      <c r="F245" s="20">
        <v>0.104</v>
      </c>
      <c r="G245" s="20">
        <v>0.104</v>
      </c>
      <c r="H245" s="17">
        <f t="shared" si="9"/>
        <v>9.9749305555555542E-2</v>
      </c>
      <c r="I245" s="15">
        <f t="shared" si="10"/>
        <v>-4.2506944444444528E-3</v>
      </c>
      <c r="J245" s="16">
        <f t="shared" si="11"/>
        <v>-4.087206196581205E-2</v>
      </c>
      <c r="K245" s="6"/>
      <c r="L245" s="6"/>
      <c r="M245" s="65">
        <v>42017</v>
      </c>
      <c r="N245">
        <v>4447869</v>
      </c>
      <c r="O245">
        <v>3193595</v>
      </c>
    </row>
    <row r="246" spans="1:15">
      <c r="A246" s="10" t="s">
        <v>272</v>
      </c>
      <c r="B246" s="11" t="s">
        <v>513</v>
      </c>
      <c r="C246" s="12" t="s">
        <v>804</v>
      </c>
      <c r="D246" s="11" t="s">
        <v>401</v>
      </c>
      <c r="E246" s="14">
        <v>0.1011</v>
      </c>
      <c r="F246" s="14">
        <v>0.1011</v>
      </c>
      <c r="G246" s="14">
        <v>0.1011</v>
      </c>
      <c r="H246" s="17">
        <f t="shared" si="9"/>
        <v>0.1011</v>
      </c>
      <c r="I246" s="15">
        <f t="shared" si="10"/>
        <v>0</v>
      </c>
      <c r="J246" s="16">
        <f t="shared" si="11"/>
        <v>0</v>
      </c>
      <c r="K246" s="6"/>
      <c r="L246" s="6"/>
      <c r="M246" s="65">
        <v>42021</v>
      </c>
      <c r="N246">
        <v>7991701</v>
      </c>
      <c r="O246">
        <v>514356</v>
      </c>
    </row>
    <row r="247" spans="1:15">
      <c r="A247" s="21" t="s">
        <v>246</v>
      </c>
      <c r="B247" s="11" t="str">
        <f>VLOOKUP(A247,[1]Scrap!$A$3:$E$4580,3,FALSE)</f>
        <v>8X12106KAF1</v>
      </c>
      <c r="C247" s="12" t="s">
        <v>805</v>
      </c>
      <c r="D247" s="11" t="s">
        <v>401</v>
      </c>
      <c r="E247" s="14">
        <v>0.2043629166666667</v>
      </c>
      <c r="F247" s="14">
        <v>0.2043629166666667</v>
      </c>
      <c r="G247" s="14">
        <v>0.2043629166666667</v>
      </c>
      <c r="H247" s="17">
        <f t="shared" si="9"/>
        <v>0.19616650000000002</v>
      </c>
      <c r="I247" s="15">
        <f t="shared" si="10"/>
        <v>-8.1964166666666782E-3</v>
      </c>
      <c r="J247" s="16">
        <f t="shared" si="11"/>
        <v>-4.0107162299096222E-2</v>
      </c>
      <c r="K247" s="57"/>
      <c r="L247" s="57"/>
      <c r="M247" s="65">
        <v>42025</v>
      </c>
      <c r="N247">
        <v>5185826</v>
      </c>
      <c r="O247">
        <v>537391</v>
      </c>
    </row>
    <row r="248" spans="1:15">
      <c r="A248" s="21" t="s">
        <v>274</v>
      </c>
      <c r="B248" s="11" t="str">
        <f>VLOOKUP(A248,[1]Scrap!$A$3:$E$4580,3,FALSE)</f>
        <v>8X12404DAF1</v>
      </c>
      <c r="C248" s="12" t="s">
        <v>806</v>
      </c>
      <c r="D248" s="11" t="s">
        <v>401</v>
      </c>
      <c r="E248" s="20">
        <v>0.1338</v>
      </c>
      <c r="F248" s="20">
        <v>0.1338</v>
      </c>
      <c r="G248" s="20">
        <v>0.1338</v>
      </c>
      <c r="H248" s="17">
        <f t="shared" si="9"/>
        <v>0.1338</v>
      </c>
      <c r="I248" s="15">
        <f t="shared" si="10"/>
        <v>0</v>
      </c>
      <c r="J248" s="16">
        <f t="shared" si="11"/>
        <v>0</v>
      </c>
      <c r="K248" s="6"/>
      <c r="L248" s="6"/>
      <c r="M248" s="65">
        <v>42029</v>
      </c>
      <c r="N248">
        <v>5696483</v>
      </c>
      <c r="O248">
        <v>3211326</v>
      </c>
    </row>
    <row r="249" spans="1:15">
      <c r="A249" s="21" t="s">
        <v>275</v>
      </c>
      <c r="B249" s="11" t="str">
        <f>VLOOKUP(A249,[1]Scrap!$A$3:$E$4580,3,FALSE)</f>
        <v>8X12404EAF1</v>
      </c>
      <c r="C249" s="12" t="s">
        <v>807</v>
      </c>
      <c r="D249" s="11" t="s">
        <v>401</v>
      </c>
      <c r="E249" s="14">
        <v>0.11798125000000001</v>
      </c>
      <c r="F249" s="14">
        <v>0.11798125000000001</v>
      </c>
      <c r="G249" s="14">
        <v>0.11798125000000001</v>
      </c>
      <c r="H249" s="17">
        <f t="shared" si="9"/>
        <v>0.11798125000000001</v>
      </c>
      <c r="I249" s="15">
        <f t="shared" si="10"/>
        <v>0</v>
      </c>
      <c r="J249" s="16">
        <f t="shared" si="11"/>
        <v>0</v>
      </c>
      <c r="K249" s="6"/>
      <c r="L249" s="6"/>
      <c r="M249" s="65">
        <v>42033</v>
      </c>
      <c r="N249">
        <v>7337271</v>
      </c>
      <c r="O249">
        <v>11237176</v>
      </c>
    </row>
    <row r="250" spans="1:15">
      <c r="A250" s="21" t="s">
        <v>346</v>
      </c>
      <c r="B250" s="11" t="str">
        <f>VLOOKUP(A250,[1]Scrap!$A$3:$E$4580,3,FALSE)</f>
        <v>8X16002FAF1</v>
      </c>
      <c r="C250" s="12" t="s">
        <v>808</v>
      </c>
      <c r="D250" s="11" t="s">
        <v>401</v>
      </c>
      <c r="E250" s="20">
        <v>0.25177142857142859</v>
      </c>
      <c r="F250" s="20">
        <v>0.25177142857142859</v>
      </c>
      <c r="G250" s="20">
        <v>0.25177142857142859</v>
      </c>
      <c r="H250" s="17">
        <f t="shared" si="9"/>
        <v>0.24271999999999999</v>
      </c>
      <c r="I250" s="15">
        <f t="shared" si="10"/>
        <v>-9.0514285714285991E-3</v>
      </c>
      <c r="J250" s="16">
        <f t="shared" si="11"/>
        <v>-3.5950975941897521E-2</v>
      </c>
      <c r="K250" s="6"/>
      <c r="L250" s="6"/>
      <c r="M250" s="65">
        <v>42037</v>
      </c>
      <c r="N250">
        <v>1586706</v>
      </c>
      <c r="O250">
        <v>2964179</v>
      </c>
    </row>
    <row r="251" spans="1:15">
      <c r="A251" s="21" t="s">
        <v>277</v>
      </c>
      <c r="B251" s="11" t="str">
        <f>VLOOKUP(A251,[1]Scrap!$A$3:$E$4580,3,FALSE)</f>
        <v>8X12406DAF1</v>
      </c>
      <c r="C251" s="12" t="s">
        <v>809</v>
      </c>
      <c r="D251" s="11" t="s">
        <v>401</v>
      </c>
      <c r="E251" s="14">
        <v>9.6920833333333345E-2</v>
      </c>
      <c r="F251" s="14">
        <v>9.6920833333333345E-2</v>
      </c>
      <c r="G251" s="14">
        <v>9.6920833333333345E-2</v>
      </c>
      <c r="H251" s="17">
        <f t="shared" si="9"/>
        <v>9.6920833333333345E-2</v>
      </c>
      <c r="I251" s="15">
        <f t="shared" si="10"/>
        <v>0</v>
      </c>
      <c r="J251" s="16">
        <f t="shared" si="11"/>
        <v>0</v>
      </c>
      <c r="K251" s="6"/>
      <c r="L251" s="6"/>
      <c r="M251" s="65">
        <v>42041</v>
      </c>
      <c r="N251">
        <v>9748116</v>
      </c>
      <c r="O251">
        <v>3672513</v>
      </c>
    </row>
    <row r="252" spans="1:15">
      <c r="A252" s="21" t="s">
        <v>273</v>
      </c>
      <c r="B252" s="11" t="str">
        <f>VLOOKUP(A252,[1]Scrap!$A$3:$E$4580,3,FALSE)</f>
        <v>8X12404CAF1</v>
      </c>
      <c r="C252" s="12" t="s">
        <v>810</v>
      </c>
      <c r="D252" s="11" t="s">
        <v>401</v>
      </c>
      <c r="E252" s="20">
        <v>0.13595000000000002</v>
      </c>
      <c r="F252" s="20">
        <v>0.13595000000000002</v>
      </c>
      <c r="G252" s="20">
        <v>0.13595000000000002</v>
      </c>
      <c r="H252" s="17">
        <f t="shared" si="9"/>
        <v>0.13595000000000002</v>
      </c>
      <c r="I252" s="15">
        <f t="shared" si="10"/>
        <v>0</v>
      </c>
      <c r="J252" s="16">
        <f t="shared" si="11"/>
        <v>0</v>
      </c>
      <c r="K252" s="6"/>
      <c r="L252" s="6"/>
      <c r="M252" s="65">
        <v>42045</v>
      </c>
      <c r="N252">
        <v>5473023</v>
      </c>
      <c r="O252">
        <v>8622536</v>
      </c>
    </row>
    <row r="253" spans="1:15">
      <c r="A253" s="10" t="s">
        <v>279</v>
      </c>
      <c r="B253" s="11" t="str">
        <f>VLOOKUP(A253,[1]Scrap!$A$3:$E$4580,3,FALSE)</f>
        <v>8X12406GAF1</v>
      </c>
      <c r="C253" s="12" t="s">
        <v>811</v>
      </c>
      <c r="D253" s="11" t="s">
        <v>401</v>
      </c>
      <c r="E253" s="14">
        <v>0.11951250000000001</v>
      </c>
      <c r="F253" s="14">
        <v>0.11951250000000001</v>
      </c>
      <c r="G253" s="14">
        <v>0.11951250000000001</v>
      </c>
      <c r="H253" s="17">
        <f t="shared" si="9"/>
        <v>0.11951250000000001</v>
      </c>
      <c r="I253" s="15">
        <f t="shared" si="10"/>
        <v>0</v>
      </c>
      <c r="J253" s="16">
        <f t="shared" si="11"/>
        <v>0</v>
      </c>
      <c r="K253" s="6"/>
      <c r="L253" s="6"/>
      <c r="M253" s="65">
        <v>42049</v>
      </c>
      <c r="N253">
        <v>9165285</v>
      </c>
      <c r="O253">
        <v>1929762</v>
      </c>
    </row>
    <row r="254" spans="1:15">
      <c r="A254" s="10" t="s">
        <v>280</v>
      </c>
      <c r="B254" s="11" t="str">
        <f>VLOOKUP(A254,[1]Scrap!$A$3:$E$4580,3,FALSE)</f>
        <v>8X12406HAF1</v>
      </c>
      <c r="C254" s="12" t="s">
        <v>812</v>
      </c>
      <c r="D254" s="11" t="s">
        <v>401</v>
      </c>
      <c r="E254" s="14">
        <v>9.5162500000000011E-2</v>
      </c>
      <c r="F254" s="14">
        <v>9.5162500000000011E-2</v>
      </c>
      <c r="G254" s="14">
        <v>9.5162500000000011E-2</v>
      </c>
      <c r="H254" s="17">
        <f t="shared" si="9"/>
        <v>9.5162500000000011E-2</v>
      </c>
      <c r="I254" s="15">
        <f t="shared" si="10"/>
        <v>0</v>
      </c>
      <c r="J254" s="16">
        <f t="shared" si="11"/>
        <v>0</v>
      </c>
      <c r="K254" s="6"/>
      <c r="L254" s="6"/>
      <c r="M254" s="65">
        <v>42053</v>
      </c>
      <c r="N254">
        <v>389295</v>
      </c>
      <c r="O254">
        <v>7238413</v>
      </c>
    </row>
    <row r="255" spans="1:15">
      <c r="A255" s="21" t="s">
        <v>256</v>
      </c>
      <c r="B255" s="11" t="str">
        <f>VLOOKUP(A255,[1]Scrap!$A$3:$E$4580,3,FALSE)</f>
        <v>8X12110EAF1</v>
      </c>
      <c r="C255" s="12" t="s">
        <v>813</v>
      </c>
      <c r="D255" s="11" t="s">
        <v>401</v>
      </c>
      <c r="E255" s="20">
        <v>0.14205000000000001</v>
      </c>
      <c r="F255" s="20">
        <v>0.14205000000000001</v>
      </c>
      <c r="G255" s="20">
        <v>0.14205000000000001</v>
      </c>
      <c r="H255" s="17">
        <f t="shared" si="9"/>
        <v>0.13833382352941179</v>
      </c>
      <c r="I255" s="15">
        <f t="shared" si="10"/>
        <v>-3.7161764705882228E-3</v>
      </c>
      <c r="J255" s="16">
        <f t="shared" si="11"/>
        <v>-2.6161045199494703E-2</v>
      </c>
      <c r="K255" s="6"/>
      <c r="L255" s="6"/>
      <c r="M255" s="65">
        <v>42057</v>
      </c>
      <c r="N255">
        <v>9297059</v>
      </c>
      <c r="O255">
        <v>156851</v>
      </c>
    </row>
    <row r="256" spans="1:15">
      <c r="A256" s="10" t="s">
        <v>282</v>
      </c>
      <c r="B256" s="11" t="s">
        <v>516</v>
      </c>
      <c r="C256" s="12" t="s">
        <v>814</v>
      </c>
      <c r="D256" s="11" t="s">
        <v>71</v>
      </c>
      <c r="E256" s="20">
        <v>5.5100000000000003E-2</v>
      </c>
      <c r="F256" s="20">
        <v>5.5100000000000003E-2</v>
      </c>
      <c r="G256" s="20">
        <v>3.5999999999999997E-2</v>
      </c>
      <c r="H256" s="17">
        <f t="shared" si="9"/>
        <v>3.5999999999999997E-2</v>
      </c>
      <c r="I256" s="15">
        <f t="shared" si="10"/>
        <v>0</v>
      </c>
      <c r="J256" s="16">
        <f t="shared" si="11"/>
        <v>0</v>
      </c>
      <c r="K256" s="6"/>
      <c r="L256" s="6"/>
      <c r="M256" s="65">
        <v>42061</v>
      </c>
      <c r="N256">
        <v>594297</v>
      </c>
      <c r="O256">
        <v>1354061</v>
      </c>
    </row>
    <row r="257" spans="1:15">
      <c r="A257" s="10" t="s">
        <v>278</v>
      </c>
      <c r="B257" s="11" t="s">
        <v>514</v>
      </c>
      <c r="C257" s="12" t="s">
        <v>815</v>
      </c>
      <c r="D257" s="11" t="s">
        <v>401</v>
      </c>
      <c r="E257" s="20">
        <v>9.3316666666666659E-2</v>
      </c>
      <c r="F257" s="20">
        <v>0.104</v>
      </c>
      <c r="G257" s="20">
        <v>0.104</v>
      </c>
      <c r="H257" s="17">
        <f t="shared" si="9"/>
        <v>0.1012875</v>
      </c>
      <c r="I257" s="15">
        <f t="shared" si="10"/>
        <v>-2.7124999999999927E-3</v>
      </c>
      <c r="J257" s="16">
        <f t="shared" si="11"/>
        <v>-2.6081730769230701E-2</v>
      </c>
      <c r="K257" s="6"/>
      <c r="L257" s="6"/>
      <c r="M257" s="65">
        <v>42065</v>
      </c>
      <c r="N257">
        <v>1708274</v>
      </c>
      <c r="O257">
        <v>5270420</v>
      </c>
    </row>
    <row r="258" spans="1:15">
      <c r="A258" s="10" t="s">
        <v>283</v>
      </c>
      <c r="B258" s="11" t="s">
        <v>517</v>
      </c>
      <c r="C258" s="12" t="s">
        <v>816</v>
      </c>
      <c r="D258" s="11" t="s">
        <v>71</v>
      </c>
      <c r="E258" s="14">
        <v>9.3799999999999994E-2</v>
      </c>
      <c r="F258" s="14">
        <v>9.3799999999999994E-2</v>
      </c>
      <c r="G258" s="14">
        <v>0</v>
      </c>
      <c r="H258" s="17">
        <f t="shared" ref="H258:H321" si="12">IFERROR(INDEX($K$2:$L$116,MATCH($A258,$K$2:$K$116,0),2),G258)</f>
        <v>0</v>
      </c>
      <c r="I258" s="15">
        <f t="shared" ref="I258:I321" si="13">H258-G258</f>
        <v>0</v>
      </c>
      <c r="J258" s="16">
        <f t="shared" ref="J258:J321" si="14">IF(G258&lt;&gt;0,I258/G258,)</f>
        <v>0</v>
      </c>
      <c r="K258" s="6"/>
      <c r="L258" s="6"/>
      <c r="M258" s="65">
        <v>42069</v>
      </c>
      <c r="N258">
        <v>9166213</v>
      </c>
      <c r="O258">
        <v>3782872</v>
      </c>
    </row>
    <row r="259" spans="1:15">
      <c r="A259" s="10" t="s">
        <v>3</v>
      </c>
      <c r="B259" s="11" t="str">
        <f>VLOOKUP(A259,[1]Scrap!$A$3:$E$4580,3,FALSE)</f>
        <v>8X12413AAF1</v>
      </c>
      <c r="C259" s="12" t="s">
        <v>685</v>
      </c>
      <c r="D259" s="11" t="s">
        <v>401</v>
      </c>
      <c r="E259" s="14">
        <v>9.4E-2</v>
      </c>
      <c r="F259" s="14">
        <v>9.4E-2</v>
      </c>
      <c r="G259" s="14">
        <v>9.4E-2</v>
      </c>
      <c r="H259" s="17">
        <f t="shared" si="12"/>
        <v>9.4E-2</v>
      </c>
      <c r="I259" s="15">
        <f t="shared" si="13"/>
        <v>0</v>
      </c>
      <c r="J259" s="16">
        <f t="shared" si="14"/>
        <v>0</v>
      </c>
      <c r="K259" s="6"/>
      <c r="L259" s="6"/>
      <c r="M259" s="65">
        <v>42073</v>
      </c>
      <c r="N259">
        <v>12310578</v>
      </c>
      <c r="O259">
        <v>10335928</v>
      </c>
    </row>
    <row r="260" spans="1:15">
      <c r="A260" s="10" t="s">
        <v>284</v>
      </c>
      <c r="B260" s="11" t="str">
        <f>VLOOKUP(A260,[1]Scrap!$A$3:$E$4580,3,FALSE)</f>
        <v>8X12413CAF1</v>
      </c>
      <c r="C260" s="12" t="s">
        <v>817</v>
      </c>
      <c r="D260" s="11" t="s">
        <v>401</v>
      </c>
      <c r="E260" s="14">
        <v>8.5362500000000008E-2</v>
      </c>
      <c r="F260" s="14">
        <v>8.5362500000000008E-2</v>
      </c>
      <c r="G260" s="14">
        <v>8.5362500000000008E-2</v>
      </c>
      <c r="H260" s="17">
        <f t="shared" si="12"/>
        <v>8.5362500000000008E-2</v>
      </c>
      <c r="I260" s="15">
        <f t="shared" si="13"/>
        <v>0</v>
      </c>
      <c r="J260" s="16">
        <f t="shared" si="14"/>
        <v>0</v>
      </c>
      <c r="K260" s="6"/>
      <c r="L260" s="6"/>
      <c r="M260" s="65">
        <v>42077</v>
      </c>
      <c r="N260">
        <v>5616986</v>
      </c>
      <c r="O260">
        <v>10227904</v>
      </c>
    </row>
    <row r="261" spans="1:15">
      <c r="A261" s="10" t="s">
        <v>329</v>
      </c>
      <c r="B261" s="11" t="str">
        <f>VLOOKUP(A261,[1]Scrap!$A$3:$E$4580,3,FALSE)</f>
        <v>8X13705DAF1</v>
      </c>
      <c r="C261" s="12" t="s">
        <v>818</v>
      </c>
      <c r="D261" s="11" t="s">
        <v>401</v>
      </c>
      <c r="E261" s="37">
        <v>4.2000000000000003E-2</v>
      </c>
      <c r="F261" s="37">
        <v>4.2000000000000003E-2</v>
      </c>
      <c r="G261" s="37">
        <v>6.4899999999999999E-2</v>
      </c>
      <c r="H261" s="17">
        <f t="shared" si="12"/>
        <v>6.3366666666666668E-2</v>
      </c>
      <c r="I261" s="15">
        <f t="shared" si="13"/>
        <v>-1.533333333333331E-3</v>
      </c>
      <c r="J261" s="16">
        <f t="shared" si="14"/>
        <v>-2.3626091422701556E-2</v>
      </c>
      <c r="K261" s="6"/>
      <c r="L261" s="6"/>
      <c r="M261" s="65">
        <v>42081</v>
      </c>
      <c r="N261">
        <v>3597875</v>
      </c>
      <c r="O261">
        <v>1089390</v>
      </c>
    </row>
    <row r="262" spans="1:15">
      <c r="A262" s="10" t="s">
        <v>286</v>
      </c>
      <c r="B262" s="11" t="s">
        <v>518</v>
      </c>
      <c r="C262" s="12" t="s">
        <v>819</v>
      </c>
      <c r="D262" s="11" t="s">
        <v>71</v>
      </c>
      <c r="E262" s="20">
        <v>9.3799999999999994E-2</v>
      </c>
      <c r="F262" s="20">
        <v>5.2900000000000003E-2</v>
      </c>
      <c r="G262" s="20">
        <v>5.2999999999999999E-2</v>
      </c>
      <c r="H262" s="17">
        <f t="shared" si="12"/>
        <v>5.2999999999999999E-2</v>
      </c>
      <c r="I262" s="15">
        <f t="shared" si="13"/>
        <v>0</v>
      </c>
      <c r="J262" s="16">
        <f t="shared" si="14"/>
        <v>0</v>
      </c>
      <c r="K262" s="9"/>
      <c r="L262" s="9"/>
      <c r="M262" s="65">
        <v>42085</v>
      </c>
      <c r="N262">
        <v>946710</v>
      </c>
      <c r="O262">
        <v>5166152</v>
      </c>
    </row>
    <row r="263" spans="1:15">
      <c r="A263" s="10" t="s">
        <v>287</v>
      </c>
      <c r="B263" s="11" t="str">
        <f>VLOOKUP(A263,[1]Scrap!$A$3:$E$4580,3,FALSE)</f>
        <v>8X12415AAF1</v>
      </c>
      <c r="C263" s="12" t="s">
        <v>820</v>
      </c>
      <c r="D263" s="11" t="s">
        <v>401</v>
      </c>
      <c r="E263" s="20">
        <v>8.3714062499999992E-2</v>
      </c>
      <c r="F263" s="20">
        <v>8.3714062499999992E-2</v>
      </c>
      <c r="G263" s="20">
        <v>8.3714062499999992E-2</v>
      </c>
      <c r="H263" s="17">
        <f t="shared" si="12"/>
        <v>8.174910714285713E-2</v>
      </c>
      <c r="I263" s="15">
        <f t="shared" si="13"/>
        <v>-1.9649553571428613E-3</v>
      </c>
      <c r="J263" s="16">
        <f t="shared" si="14"/>
        <v>-2.3472225555208975E-2</v>
      </c>
      <c r="K263" s="9"/>
      <c r="L263" s="9"/>
      <c r="M263" s="65">
        <v>42089</v>
      </c>
      <c r="N263">
        <v>3993985</v>
      </c>
      <c r="O263">
        <v>9968205</v>
      </c>
    </row>
    <row r="264" spans="1:15">
      <c r="A264" s="10" t="s">
        <v>288</v>
      </c>
      <c r="B264" s="11" t="s">
        <v>519</v>
      </c>
      <c r="C264" s="12" t="s">
        <v>821</v>
      </c>
      <c r="D264" s="11" t="s">
        <v>71</v>
      </c>
      <c r="E264" s="20">
        <v>8.3714062499999992E-2</v>
      </c>
      <c r="F264" s="20">
        <v>8.3714062499999992E-2</v>
      </c>
      <c r="G264" s="20">
        <v>0</v>
      </c>
      <c r="H264" s="17">
        <f t="shared" si="12"/>
        <v>0</v>
      </c>
      <c r="I264" s="15">
        <f t="shared" si="13"/>
        <v>0</v>
      </c>
      <c r="J264" s="16">
        <f t="shared" si="14"/>
        <v>0</v>
      </c>
      <c r="K264" s="9"/>
      <c r="L264" s="9"/>
      <c r="M264" s="65">
        <v>42093</v>
      </c>
      <c r="N264">
        <v>733554</v>
      </c>
      <c r="O264">
        <v>4316233</v>
      </c>
    </row>
    <row r="265" spans="1:15">
      <c r="A265" s="21" t="s">
        <v>289</v>
      </c>
      <c r="B265" s="11" t="str">
        <f>VLOOKUP(A265,[1]Scrap!$A$3:$E$4580,3,FALSE)</f>
        <v>8X12415BAF1</v>
      </c>
      <c r="C265" s="12" t="s">
        <v>822</v>
      </c>
      <c r="D265" s="11" t="s">
        <v>401</v>
      </c>
      <c r="E265" s="20">
        <v>8.3386956521739136E-2</v>
      </c>
      <c r="F265" s="20">
        <v>8.3386956521739136E-2</v>
      </c>
      <c r="G265" s="20">
        <v>8.3386956521739136E-2</v>
      </c>
      <c r="H265" s="17">
        <f t="shared" si="12"/>
        <v>8.3386956521739136E-2</v>
      </c>
      <c r="I265" s="15">
        <f t="shared" si="13"/>
        <v>0</v>
      </c>
      <c r="J265" s="16">
        <f t="shared" si="14"/>
        <v>0</v>
      </c>
      <c r="K265" s="27"/>
      <c r="L265" s="27"/>
      <c r="M265" s="65">
        <v>42097</v>
      </c>
      <c r="N265">
        <v>6415374</v>
      </c>
      <c r="O265">
        <v>11474753</v>
      </c>
    </row>
    <row r="266" spans="1:15">
      <c r="A266" s="10" t="s">
        <v>290</v>
      </c>
      <c r="B266" s="11" t="s">
        <v>520</v>
      </c>
      <c r="C266" s="12" t="s">
        <v>823</v>
      </c>
      <c r="D266" s="11" t="s">
        <v>71</v>
      </c>
      <c r="E266" s="14">
        <v>0</v>
      </c>
      <c r="F266" s="14">
        <v>0</v>
      </c>
      <c r="G266" s="14">
        <v>0.12</v>
      </c>
      <c r="H266" s="17">
        <f t="shared" si="12"/>
        <v>0.12</v>
      </c>
      <c r="I266" s="15">
        <f t="shared" si="13"/>
        <v>0</v>
      </c>
      <c r="J266" s="16">
        <f t="shared" si="14"/>
        <v>0</v>
      </c>
      <c r="K266" s="9"/>
      <c r="L266" s="9"/>
      <c r="M266" s="65">
        <v>42101</v>
      </c>
      <c r="N266">
        <v>11273104</v>
      </c>
      <c r="O266">
        <v>5798861</v>
      </c>
    </row>
    <row r="267" spans="1:15">
      <c r="A267" s="10" t="s">
        <v>521</v>
      </c>
      <c r="B267" s="11" t="str">
        <f>VLOOKUP(A267,[1]Scrap!$A$3:$E$4580,3,FALSE)</f>
        <v>8X12415DAF1</v>
      </c>
      <c r="C267" s="12" t="s">
        <v>824</v>
      </c>
      <c r="D267" s="11" t="s">
        <v>401</v>
      </c>
      <c r="E267" s="14">
        <v>5.6710416666666673E-2</v>
      </c>
      <c r="F267" s="14">
        <v>5.6710416666666673E-2</v>
      </c>
      <c r="G267" s="14">
        <v>5.6710416666666673E-2</v>
      </c>
      <c r="H267" s="17">
        <f t="shared" si="12"/>
        <v>5.6710416666666673E-2</v>
      </c>
      <c r="I267" s="15">
        <f t="shared" si="13"/>
        <v>0</v>
      </c>
      <c r="J267" s="16">
        <f t="shared" si="14"/>
        <v>0</v>
      </c>
      <c r="K267" s="27"/>
      <c r="L267" s="27"/>
      <c r="M267" s="65">
        <v>42105</v>
      </c>
      <c r="N267">
        <v>11491083</v>
      </c>
      <c r="O267">
        <v>2558254</v>
      </c>
    </row>
    <row r="268" spans="1:15">
      <c r="A268" s="10" t="s">
        <v>91</v>
      </c>
      <c r="B268" s="11" t="str">
        <f>VLOOKUP(A268,[1]Scrap!$A$3:$E$4580,3,FALSE)</f>
        <v>80496505AF1</v>
      </c>
      <c r="C268" s="12" t="s">
        <v>825</v>
      </c>
      <c r="D268" s="11" t="s">
        <v>401</v>
      </c>
      <c r="E268" s="20">
        <v>0.18484545454545451</v>
      </c>
      <c r="F268" s="20">
        <v>0.191</v>
      </c>
      <c r="G268" s="20">
        <v>0.191</v>
      </c>
      <c r="H268" s="17">
        <f t="shared" si="12"/>
        <v>0.18753888888888887</v>
      </c>
      <c r="I268" s="15">
        <f t="shared" si="13"/>
        <v>-3.461111111111137E-3</v>
      </c>
      <c r="J268" s="16">
        <f t="shared" si="14"/>
        <v>-1.8121000581733701E-2</v>
      </c>
      <c r="K268" s="18" t="s">
        <v>368</v>
      </c>
      <c r="L268" s="19">
        <v>0.15574499999999999</v>
      </c>
      <c r="M268" s="65">
        <v>42109</v>
      </c>
      <c r="N268">
        <v>8669233</v>
      </c>
      <c r="O268">
        <v>78678</v>
      </c>
    </row>
    <row r="269" spans="1:15">
      <c r="A269" s="10" t="s">
        <v>151</v>
      </c>
      <c r="B269" s="11" t="str">
        <f>VLOOKUP(A269,[1]Scrap!$A$3:$E$4580,3,FALSE)</f>
        <v>80723003EF1</v>
      </c>
      <c r="C269" s="12" t="s">
        <v>826</v>
      </c>
      <c r="D269" s="11" t="s">
        <v>401</v>
      </c>
      <c r="E269" s="20">
        <v>0.46390441176470598</v>
      </c>
      <c r="F269" s="20">
        <v>0.43809999999999999</v>
      </c>
      <c r="G269" s="20">
        <v>0.43809999999999999</v>
      </c>
      <c r="H269" s="17">
        <f t="shared" si="12"/>
        <v>0.43289801587301613</v>
      </c>
      <c r="I269" s="15">
        <f t="shared" si="13"/>
        <v>-5.2019841269838607E-3</v>
      </c>
      <c r="J269" s="16">
        <f t="shared" si="14"/>
        <v>-1.1873965138059486E-2</v>
      </c>
      <c r="K269" s="9"/>
      <c r="L269" s="9"/>
      <c r="M269" s="65">
        <v>42113</v>
      </c>
      <c r="N269">
        <v>4902559</v>
      </c>
      <c r="O269">
        <v>2318170</v>
      </c>
    </row>
    <row r="270" spans="1:15">
      <c r="A270" s="10" t="s">
        <v>293</v>
      </c>
      <c r="B270" s="11" t="s">
        <v>522</v>
      </c>
      <c r="C270" s="12" t="s">
        <v>827</v>
      </c>
      <c r="D270" s="11" t="s">
        <v>71</v>
      </c>
      <c r="E270" s="14">
        <v>5.7097119047619049E-2</v>
      </c>
      <c r="F270" s="14">
        <v>5.7097119047619049E-2</v>
      </c>
      <c r="G270" s="14">
        <v>0</v>
      </c>
      <c r="H270" s="17">
        <f t="shared" si="12"/>
        <v>0</v>
      </c>
      <c r="I270" s="15">
        <f t="shared" si="13"/>
        <v>0</v>
      </c>
      <c r="J270" s="16">
        <f t="shared" si="14"/>
        <v>0</v>
      </c>
      <c r="K270" s="9"/>
      <c r="L270" s="9"/>
      <c r="M270" s="65">
        <v>42117</v>
      </c>
      <c r="N270">
        <v>161662</v>
      </c>
      <c r="O270">
        <v>6045563</v>
      </c>
    </row>
    <row r="271" spans="1:15">
      <c r="A271" s="10" t="s">
        <v>294</v>
      </c>
      <c r="B271" s="11" t="s">
        <v>523</v>
      </c>
      <c r="C271" s="12" t="s">
        <v>828</v>
      </c>
      <c r="D271" s="11" t="s">
        <v>71</v>
      </c>
      <c r="E271" s="14">
        <v>0</v>
      </c>
      <c r="F271" s="14">
        <v>0</v>
      </c>
      <c r="G271" s="14">
        <v>2.7E-2</v>
      </c>
      <c r="H271" s="17">
        <f t="shared" si="12"/>
        <v>2.7E-2</v>
      </c>
      <c r="I271" s="15">
        <f t="shared" si="13"/>
        <v>0</v>
      </c>
      <c r="J271" s="16">
        <f t="shared" si="14"/>
        <v>0</v>
      </c>
      <c r="K271" s="9"/>
      <c r="L271" s="9"/>
      <c r="M271" s="65">
        <v>42121</v>
      </c>
      <c r="N271">
        <v>8765692</v>
      </c>
      <c r="O271">
        <v>4203214</v>
      </c>
    </row>
    <row r="272" spans="1:15">
      <c r="A272" s="10" t="s">
        <v>295</v>
      </c>
      <c r="B272" s="11" t="s">
        <v>524</v>
      </c>
      <c r="C272" s="12" t="s">
        <v>829</v>
      </c>
      <c r="D272" s="11" t="s">
        <v>71</v>
      </c>
      <c r="E272" s="14">
        <v>0</v>
      </c>
      <c r="F272" s="14">
        <v>0</v>
      </c>
      <c r="G272" s="14">
        <v>0.15</v>
      </c>
      <c r="H272" s="17">
        <f t="shared" si="12"/>
        <v>0.15</v>
      </c>
      <c r="I272" s="15">
        <f t="shared" si="13"/>
        <v>0</v>
      </c>
      <c r="J272" s="16">
        <f t="shared" si="14"/>
        <v>0</v>
      </c>
      <c r="K272" s="9"/>
      <c r="L272" s="9"/>
      <c r="M272" s="65">
        <v>42005</v>
      </c>
      <c r="N272">
        <v>5265059</v>
      </c>
      <c r="O272">
        <v>7486320</v>
      </c>
    </row>
    <row r="273" spans="1:15">
      <c r="A273" s="21" t="s">
        <v>145</v>
      </c>
      <c r="B273" s="11" t="str">
        <f>VLOOKUP(A273,[1]Scrap!$A$3:$E$4580,3,FALSE)</f>
        <v>80722903EF1</v>
      </c>
      <c r="C273" s="12" t="s">
        <v>830</v>
      </c>
      <c r="D273" s="11" t="s">
        <v>401</v>
      </c>
      <c r="E273" s="37">
        <v>0.1825</v>
      </c>
      <c r="F273" s="37">
        <v>0.1825</v>
      </c>
      <c r="G273" s="37">
        <v>0.1825</v>
      </c>
      <c r="H273" s="17">
        <f t="shared" si="12"/>
        <v>0.18083981481481481</v>
      </c>
      <c r="I273" s="15">
        <f t="shared" si="13"/>
        <v>-1.6601851851851812E-3</v>
      </c>
      <c r="J273" s="16">
        <f t="shared" si="14"/>
        <v>-9.0969051243023624E-3</v>
      </c>
      <c r="K273" s="27"/>
      <c r="L273" s="27"/>
      <c r="M273" s="65">
        <v>42009</v>
      </c>
      <c r="N273">
        <v>5063072</v>
      </c>
      <c r="O273">
        <v>2425846</v>
      </c>
    </row>
    <row r="274" spans="1:15">
      <c r="A274" s="29" t="s">
        <v>297</v>
      </c>
      <c r="B274" s="30" t="s">
        <v>526</v>
      </c>
      <c r="C274" s="31" t="s">
        <v>831</v>
      </c>
      <c r="D274" s="30" t="s">
        <v>71</v>
      </c>
      <c r="E274" s="36">
        <v>2.8500000000000001E-2</v>
      </c>
      <c r="F274" s="36">
        <v>2.4E-2</v>
      </c>
      <c r="G274" s="36">
        <v>2.6700000000000002E-2</v>
      </c>
      <c r="H274" s="17">
        <f t="shared" si="12"/>
        <v>2.6700000000000002E-2</v>
      </c>
      <c r="I274" s="15">
        <f t="shared" si="13"/>
        <v>0</v>
      </c>
      <c r="J274" s="16">
        <f t="shared" si="14"/>
        <v>0</v>
      </c>
      <c r="K274" s="34"/>
      <c r="L274" s="34"/>
      <c r="M274" s="65">
        <v>42013</v>
      </c>
      <c r="N274">
        <v>2467222</v>
      </c>
      <c r="O274">
        <v>9475631</v>
      </c>
    </row>
    <row r="275" spans="1:15">
      <c r="A275" s="10" t="s">
        <v>298</v>
      </c>
      <c r="B275" s="11" t="str">
        <f>VLOOKUP(A275,[1]Scrap!$A$3:$E$4580,3,FALSE)</f>
        <v>8X12415ZAF1</v>
      </c>
      <c r="C275" s="12" t="s">
        <v>832</v>
      </c>
      <c r="D275" s="11" t="s">
        <v>401</v>
      </c>
      <c r="E275" s="14">
        <v>9.278125000000001E-2</v>
      </c>
      <c r="F275" s="14">
        <v>9.278125000000001E-2</v>
      </c>
      <c r="G275" s="14">
        <v>9.278125000000001E-2</v>
      </c>
      <c r="H275" s="17">
        <f t="shared" si="12"/>
        <v>9.278125000000001E-2</v>
      </c>
      <c r="I275" s="15">
        <f t="shared" si="13"/>
        <v>0</v>
      </c>
      <c r="J275" s="16">
        <f t="shared" si="14"/>
        <v>0</v>
      </c>
      <c r="K275" s="27"/>
      <c r="L275" s="27"/>
      <c r="M275" s="65">
        <v>42017</v>
      </c>
      <c r="N275">
        <v>3304103</v>
      </c>
      <c r="O275">
        <v>11411943</v>
      </c>
    </row>
    <row r="276" spans="1:15">
      <c r="A276" s="21" t="s">
        <v>299</v>
      </c>
      <c r="B276" s="11" t="str">
        <f>VLOOKUP(A276,[1]Scrap!$A$3:$E$4580,3,FALSE)</f>
        <v>8X12416AAF1</v>
      </c>
      <c r="C276" s="12" t="s">
        <v>833</v>
      </c>
      <c r="D276" s="11" t="s">
        <v>401</v>
      </c>
      <c r="E276" s="14">
        <v>0.13550000000000001</v>
      </c>
      <c r="F276" s="14">
        <v>0.13550000000000001</v>
      </c>
      <c r="G276" s="14">
        <v>0.13550000000000001</v>
      </c>
      <c r="H276" s="17">
        <f t="shared" si="12"/>
        <v>0.13550000000000001</v>
      </c>
      <c r="I276" s="15">
        <f t="shared" si="13"/>
        <v>0</v>
      </c>
      <c r="J276" s="16">
        <f t="shared" si="14"/>
        <v>0</v>
      </c>
      <c r="K276" s="6"/>
      <c r="L276" s="6"/>
      <c r="M276" s="65">
        <v>42021</v>
      </c>
      <c r="N276">
        <v>8879532</v>
      </c>
      <c r="O276">
        <v>7788279</v>
      </c>
    </row>
    <row r="277" spans="1:15">
      <c r="A277" s="21" t="s">
        <v>300</v>
      </c>
      <c r="B277" s="11" t="str">
        <f>VLOOKUP(A277,[1]Scrap!$A$3:$E$4580,3,FALSE)</f>
        <v>8X12416BAF1</v>
      </c>
      <c r="C277" s="12" t="s">
        <v>834</v>
      </c>
      <c r="D277" s="11" t="s">
        <v>401</v>
      </c>
      <c r="E277" s="14">
        <v>0.15062500000000001</v>
      </c>
      <c r="F277" s="14">
        <v>0.15062500000000001</v>
      </c>
      <c r="G277" s="14">
        <v>0.15062500000000001</v>
      </c>
      <c r="H277" s="17">
        <f t="shared" si="12"/>
        <v>0.15062500000000001</v>
      </c>
      <c r="I277" s="15">
        <f t="shared" si="13"/>
        <v>0</v>
      </c>
      <c r="J277" s="16">
        <f t="shared" si="14"/>
        <v>0</v>
      </c>
      <c r="K277" s="27"/>
      <c r="L277" s="27"/>
      <c r="M277" s="65">
        <v>42025</v>
      </c>
      <c r="N277">
        <v>9549051</v>
      </c>
      <c r="O277">
        <v>3854323</v>
      </c>
    </row>
    <row r="278" spans="1:15">
      <c r="A278" s="21" t="s">
        <v>301</v>
      </c>
      <c r="B278" s="11" t="str">
        <f>VLOOKUP(A278,[1]Scrap!$A$3:$E$4580,3,FALSE)</f>
        <v>8X12417AAF1</v>
      </c>
      <c r="C278" s="12" t="s">
        <v>835</v>
      </c>
      <c r="D278" s="11" t="s">
        <v>401</v>
      </c>
      <c r="E278" s="14">
        <v>0.12661250000000002</v>
      </c>
      <c r="F278" s="14">
        <v>0.12661250000000002</v>
      </c>
      <c r="G278" s="14">
        <v>0.12661250000000002</v>
      </c>
      <c r="H278" s="17">
        <f t="shared" si="12"/>
        <v>0.12661250000000002</v>
      </c>
      <c r="I278" s="15">
        <f t="shared" si="13"/>
        <v>0</v>
      </c>
      <c r="J278" s="16">
        <f t="shared" si="14"/>
        <v>0</v>
      </c>
      <c r="K278" s="27"/>
      <c r="L278" s="27"/>
      <c r="M278" s="65">
        <v>42029</v>
      </c>
      <c r="N278">
        <v>6284785</v>
      </c>
      <c r="O278">
        <v>11888541</v>
      </c>
    </row>
    <row r="279" spans="1:15">
      <c r="A279" s="10" t="s">
        <v>302</v>
      </c>
      <c r="B279" s="11" t="str">
        <f>VLOOKUP(A279,[1]Scrap!$A$3:$E$4580,3,FALSE)</f>
        <v>8X12417CAF1</v>
      </c>
      <c r="C279" s="12" t="s">
        <v>836</v>
      </c>
      <c r="D279" s="11" t="s">
        <v>401</v>
      </c>
      <c r="E279" s="14">
        <v>7.3987499999999998E-2</v>
      </c>
      <c r="F279" s="14">
        <v>7.3987499999999998E-2</v>
      </c>
      <c r="G279" s="14">
        <v>7.3987499999999998E-2</v>
      </c>
      <c r="H279" s="17">
        <f t="shared" si="12"/>
        <v>7.3987499999999998E-2</v>
      </c>
      <c r="I279" s="15">
        <f t="shared" si="13"/>
        <v>0</v>
      </c>
      <c r="J279" s="16">
        <f t="shared" si="14"/>
        <v>0</v>
      </c>
      <c r="K279" s="27"/>
      <c r="L279" s="27"/>
      <c r="M279" s="65">
        <v>42033</v>
      </c>
      <c r="N279">
        <v>4712876</v>
      </c>
      <c r="O279">
        <v>805392</v>
      </c>
    </row>
    <row r="280" spans="1:15">
      <c r="A280" s="10" t="s">
        <v>303</v>
      </c>
      <c r="B280" s="11" t="str">
        <f>VLOOKUP(A280,[1]Scrap!$A$3:$E$4580,3,FALSE)</f>
        <v>8X12417DAF1</v>
      </c>
      <c r="C280" s="12" t="s">
        <v>837</v>
      </c>
      <c r="D280" s="11" t="s">
        <v>401</v>
      </c>
      <c r="E280" s="14">
        <v>5.7293941399999999E-2</v>
      </c>
      <c r="F280" s="14">
        <v>5.7293941399999999E-2</v>
      </c>
      <c r="G280" s="14">
        <v>5.7293941399999999E-2</v>
      </c>
      <c r="H280" s="17">
        <f t="shared" si="12"/>
        <v>5.7293941399999999E-2</v>
      </c>
      <c r="I280" s="15">
        <f t="shared" si="13"/>
        <v>0</v>
      </c>
      <c r="J280" s="16">
        <f t="shared" si="14"/>
        <v>0</v>
      </c>
      <c r="K280" s="27"/>
      <c r="L280" s="27"/>
      <c r="M280" s="65">
        <v>42037</v>
      </c>
      <c r="N280">
        <v>10565646</v>
      </c>
      <c r="O280">
        <v>1603247</v>
      </c>
    </row>
    <row r="281" spans="1:15">
      <c r="A281" s="10" t="s">
        <v>304</v>
      </c>
      <c r="B281" s="11" t="str">
        <f>VLOOKUP(A281,[1]Scrap!$A$3:$E$4580,3,FALSE)</f>
        <v>8X12419BAF1</v>
      </c>
      <c r="C281" s="12" t="s">
        <v>838</v>
      </c>
      <c r="D281" s="11" t="s">
        <v>401</v>
      </c>
      <c r="E281" s="14">
        <v>6.5728041400000006E-2</v>
      </c>
      <c r="F281" s="14">
        <v>6.5728041400000006E-2</v>
      </c>
      <c r="G281" s="14">
        <v>6.5728041400000006E-2</v>
      </c>
      <c r="H281" s="17">
        <f t="shared" si="12"/>
        <v>6.5728041400000006E-2</v>
      </c>
      <c r="I281" s="15">
        <f t="shared" si="13"/>
        <v>0</v>
      </c>
      <c r="J281" s="16">
        <f t="shared" si="14"/>
        <v>0</v>
      </c>
      <c r="K281" s="6"/>
      <c r="L281" s="6"/>
      <c r="M281" s="65">
        <v>42041</v>
      </c>
      <c r="N281">
        <v>8636799</v>
      </c>
      <c r="O281">
        <v>7796297</v>
      </c>
    </row>
    <row r="282" spans="1:15">
      <c r="A282" s="10" t="s">
        <v>305</v>
      </c>
      <c r="B282" s="11" t="s">
        <v>527</v>
      </c>
      <c r="C282" s="12" t="s">
        <v>839</v>
      </c>
      <c r="D282" s="11" t="s">
        <v>71</v>
      </c>
      <c r="E282" s="14">
        <v>0</v>
      </c>
      <c r="F282" s="14">
        <v>0</v>
      </c>
      <c r="G282" s="14">
        <v>0.121</v>
      </c>
      <c r="H282" s="17">
        <f t="shared" si="12"/>
        <v>0.121</v>
      </c>
      <c r="I282" s="15">
        <f t="shared" si="13"/>
        <v>0</v>
      </c>
      <c r="J282" s="16">
        <f t="shared" si="14"/>
        <v>0</v>
      </c>
      <c r="K282" s="6"/>
      <c r="L282" s="6"/>
      <c r="M282" s="65">
        <v>42045</v>
      </c>
      <c r="N282">
        <v>4660671</v>
      </c>
      <c r="O282">
        <v>4190748</v>
      </c>
    </row>
    <row r="283" spans="1:15">
      <c r="A283" s="10" t="s">
        <v>306</v>
      </c>
      <c r="B283" s="11" t="str">
        <f>VLOOKUP(A283,[1]Scrap!$A$3:$E$4580,3,FALSE)</f>
        <v>8X12501AAF1</v>
      </c>
      <c r="C283" s="12" t="s">
        <v>840</v>
      </c>
      <c r="D283" s="11" t="s">
        <v>401</v>
      </c>
      <c r="E283" s="14">
        <v>5.1200000000000002E-2</v>
      </c>
      <c r="F283" s="14">
        <v>5.1200000000000002E-2</v>
      </c>
      <c r="G283" s="14">
        <v>5.1200000000000002E-2</v>
      </c>
      <c r="H283" s="17">
        <f t="shared" si="12"/>
        <v>5.1200000000000002E-2</v>
      </c>
      <c r="I283" s="15">
        <f t="shared" si="13"/>
        <v>0</v>
      </c>
      <c r="J283" s="16">
        <f t="shared" si="14"/>
        <v>0</v>
      </c>
      <c r="K283" s="27"/>
      <c r="L283" s="27"/>
      <c r="M283" s="65">
        <v>42049</v>
      </c>
      <c r="N283">
        <v>11327838</v>
      </c>
      <c r="O283">
        <v>3129462</v>
      </c>
    </row>
    <row r="284" spans="1:15">
      <c r="A284" s="10" t="s">
        <v>307</v>
      </c>
      <c r="B284" s="11" t="s">
        <v>528</v>
      </c>
      <c r="C284" s="12" t="s">
        <v>841</v>
      </c>
      <c r="D284" s="11" t="s">
        <v>401</v>
      </c>
      <c r="E284" s="13">
        <v>5.1200000000000002E-2</v>
      </c>
      <c r="F284" s="13">
        <v>5.1200000000000002E-2</v>
      </c>
      <c r="G284" s="13">
        <v>5.1200000000000002E-2</v>
      </c>
      <c r="H284" s="17">
        <f t="shared" si="12"/>
        <v>5.1200000000000002E-2</v>
      </c>
      <c r="I284" s="15">
        <f t="shared" si="13"/>
        <v>0</v>
      </c>
      <c r="J284" s="16">
        <f t="shared" si="14"/>
        <v>0</v>
      </c>
      <c r="K284" s="9"/>
      <c r="L284" s="9"/>
      <c r="M284" s="65">
        <v>42053</v>
      </c>
      <c r="N284">
        <v>459855</v>
      </c>
      <c r="O284">
        <v>4727677</v>
      </c>
    </row>
    <row r="285" spans="1:15">
      <c r="A285" s="21" t="s">
        <v>324</v>
      </c>
      <c r="B285" s="11" t="str">
        <f>VLOOKUP(A285,[1]Scrap!$A$3:$E$4580,3,FALSE)</f>
        <v>8X13704CAF1</v>
      </c>
      <c r="C285" s="12" t="s">
        <v>842</v>
      </c>
      <c r="D285" s="11" t="s">
        <v>401</v>
      </c>
      <c r="E285" s="20">
        <v>4.9399999999999999E-2</v>
      </c>
      <c r="F285" s="20">
        <v>4.9399999999999999E-2</v>
      </c>
      <c r="G285" s="20">
        <v>5.6599999999999998E-2</v>
      </c>
      <c r="H285" s="17">
        <f t="shared" si="12"/>
        <v>5.611337209302325E-2</v>
      </c>
      <c r="I285" s="15">
        <f t="shared" si="13"/>
        <v>-4.8662790697674707E-4</v>
      </c>
      <c r="J285" s="16">
        <f t="shared" si="14"/>
        <v>-8.5976662010025986E-3</v>
      </c>
      <c r="K285" s="6"/>
      <c r="L285" s="6"/>
      <c r="M285" s="65">
        <v>42057</v>
      </c>
      <c r="N285">
        <v>1755586</v>
      </c>
      <c r="O285">
        <v>6671432</v>
      </c>
    </row>
    <row r="286" spans="1:15">
      <c r="A286" s="58" t="s">
        <v>309</v>
      </c>
      <c r="B286" s="31" t="s">
        <v>530</v>
      </c>
      <c r="C286" s="31" t="s">
        <v>843</v>
      </c>
      <c r="D286" s="31" t="s">
        <v>71</v>
      </c>
      <c r="E286" s="32">
        <v>5.1200000000000002E-2</v>
      </c>
      <c r="F286" s="32">
        <v>5.1200000000000002E-2</v>
      </c>
      <c r="G286" s="32">
        <v>0</v>
      </c>
      <c r="H286" s="17">
        <f t="shared" si="12"/>
        <v>2.3618750000000001E-2</v>
      </c>
      <c r="I286" s="15">
        <f t="shared" si="13"/>
        <v>2.3618750000000001E-2</v>
      </c>
      <c r="J286" s="16">
        <f t="shared" si="14"/>
        <v>0</v>
      </c>
      <c r="K286" s="34"/>
      <c r="L286" s="34"/>
      <c r="M286" s="65">
        <v>42061</v>
      </c>
      <c r="N286">
        <v>2584832</v>
      </c>
      <c r="O286">
        <v>11881115</v>
      </c>
    </row>
    <row r="287" spans="1:15">
      <c r="A287" s="21" t="s">
        <v>101</v>
      </c>
      <c r="B287" s="11" t="str">
        <f>VLOOKUP(A287,[1]Scrap!$A$3:$E$4580,3,FALSE)</f>
        <v>80496704HF1</v>
      </c>
      <c r="C287" s="12" t="s">
        <v>844</v>
      </c>
      <c r="D287" s="11" t="s">
        <v>401</v>
      </c>
      <c r="E287" s="20">
        <v>6.89923076923077E-2</v>
      </c>
      <c r="F287" s="20">
        <v>6.89923076923077E-2</v>
      </c>
      <c r="G287" s="20">
        <v>6.89923076923077E-2</v>
      </c>
      <c r="H287" s="17">
        <f t="shared" si="12"/>
        <v>6.8481666666666691E-2</v>
      </c>
      <c r="I287" s="15">
        <f t="shared" si="13"/>
        <v>-5.1064102564100933E-4</v>
      </c>
      <c r="J287" s="16">
        <f t="shared" si="14"/>
        <v>-7.4014197049092657E-3</v>
      </c>
      <c r="K287" s="18" t="s">
        <v>64</v>
      </c>
      <c r="L287" s="19">
        <v>0.50512500000000005</v>
      </c>
      <c r="M287" s="65">
        <v>42065</v>
      </c>
      <c r="N287">
        <v>7622756</v>
      </c>
      <c r="O287">
        <v>2347935</v>
      </c>
    </row>
    <row r="288" spans="1:15">
      <c r="A288" s="58" t="s">
        <v>311</v>
      </c>
      <c r="B288" s="31" t="s">
        <v>531</v>
      </c>
      <c r="C288" s="31" t="s">
        <v>845</v>
      </c>
      <c r="D288" s="31" t="s">
        <v>71</v>
      </c>
      <c r="E288" s="32">
        <v>5.1200000000000002E-2</v>
      </c>
      <c r="F288" s="32">
        <v>5.1200000000000002E-2</v>
      </c>
      <c r="G288" s="32">
        <v>0</v>
      </c>
      <c r="H288" s="17">
        <f t="shared" si="12"/>
        <v>0</v>
      </c>
      <c r="I288" s="15">
        <f t="shared" si="13"/>
        <v>0</v>
      </c>
      <c r="J288" s="16">
        <f t="shared" si="14"/>
        <v>0</v>
      </c>
      <c r="K288" s="34"/>
      <c r="L288" s="34"/>
      <c r="M288" s="65">
        <v>42069</v>
      </c>
      <c r="N288">
        <v>7051867</v>
      </c>
      <c r="O288">
        <v>2761369</v>
      </c>
    </row>
    <row r="289" spans="1:15">
      <c r="A289" s="58" t="s">
        <v>312</v>
      </c>
      <c r="B289" s="31" t="s">
        <v>532</v>
      </c>
      <c r="C289" s="31" t="s">
        <v>846</v>
      </c>
      <c r="D289" s="31" t="s">
        <v>71</v>
      </c>
      <c r="E289" s="32">
        <v>5.1200000000000002E-2</v>
      </c>
      <c r="F289" s="32">
        <v>5.1200000000000002E-2</v>
      </c>
      <c r="G289" s="32">
        <v>0</v>
      </c>
      <c r="H289" s="17">
        <f t="shared" si="12"/>
        <v>0</v>
      </c>
      <c r="I289" s="15">
        <f t="shared" si="13"/>
        <v>0</v>
      </c>
      <c r="J289" s="16">
        <f t="shared" si="14"/>
        <v>0</v>
      </c>
      <c r="K289" s="34"/>
      <c r="L289" s="34"/>
      <c r="M289" s="65">
        <v>42073</v>
      </c>
      <c r="N289">
        <v>250932</v>
      </c>
      <c r="O289">
        <v>7955500</v>
      </c>
    </row>
    <row r="290" spans="1:15">
      <c r="A290" s="21" t="s">
        <v>313</v>
      </c>
      <c r="B290" s="11" t="str">
        <f>VLOOKUP(A290,[1]Scrap!$A$3:$E$4580,3,FALSE)</f>
        <v>8X13601BAF1</v>
      </c>
      <c r="C290" s="12" t="s">
        <v>847</v>
      </c>
      <c r="D290" s="11" t="s">
        <v>401</v>
      </c>
      <c r="E290" s="14">
        <v>0.1012</v>
      </c>
      <c r="F290" s="14">
        <v>0.1012</v>
      </c>
      <c r="G290" s="14">
        <v>0.1012</v>
      </c>
      <c r="H290" s="17">
        <f t="shared" si="12"/>
        <v>0.1012</v>
      </c>
      <c r="I290" s="15">
        <f t="shared" si="13"/>
        <v>0</v>
      </c>
      <c r="J290" s="16">
        <f t="shared" si="14"/>
        <v>0</v>
      </c>
      <c r="K290" s="27"/>
      <c r="L290" s="27"/>
      <c r="M290" s="65">
        <v>42077</v>
      </c>
      <c r="N290">
        <v>1428753</v>
      </c>
      <c r="O290">
        <v>9968544</v>
      </c>
    </row>
    <row r="291" spans="1:15">
      <c r="A291" s="21" t="s">
        <v>314</v>
      </c>
      <c r="B291" s="11" t="str">
        <f>VLOOKUP(A291,[1]Scrap!$A$3:$E$4580,3,FALSE)</f>
        <v>8X13602CAF1</v>
      </c>
      <c r="C291" s="12" t="s">
        <v>848</v>
      </c>
      <c r="D291" s="11" t="s">
        <v>401</v>
      </c>
      <c r="E291" s="14">
        <v>0.111</v>
      </c>
      <c r="F291" s="14">
        <v>0.111</v>
      </c>
      <c r="G291" s="14">
        <v>0.111</v>
      </c>
      <c r="H291" s="17">
        <f t="shared" si="12"/>
        <v>0.111</v>
      </c>
      <c r="I291" s="15">
        <f t="shared" si="13"/>
        <v>0</v>
      </c>
      <c r="J291" s="16">
        <f t="shared" si="14"/>
        <v>0</v>
      </c>
      <c r="K291" s="6"/>
      <c r="L291" s="6"/>
      <c r="M291" s="65">
        <v>42081</v>
      </c>
      <c r="N291">
        <v>3602539</v>
      </c>
      <c r="O291">
        <v>1946796</v>
      </c>
    </row>
    <row r="292" spans="1:15">
      <c r="A292" s="10" t="s">
        <v>315</v>
      </c>
      <c r="B292" s="11" t="str">
        <f>VLOOKUP(A292,[1]Scrap!$A$3:$E$4580,3,FALSE)</f>
        <v>8X13602CAF1</v>
      </c>
      <c r="C292" s="12" t="s">
        <v>848</v>
      </c>
      <c r="D292" s="11" t="s">
        <v>401</v>
      </c>
      <c r="E292" s="14">
        <v>0.111</v>
      </c>
      <c r="F292" s="14">
        <v>0.111</v>
      </c>
      <c r="G292" s="14">
        <v>0.111</v>
      </c>
      <c r="H292" s="17">
        <f t="shared" si="12"/>
        <v>0.111</v>
      </c>
      <c r="I292" s="15">
        <f t="shared" si="13"/>
        <v>0</v>
      </c>
      <c r="J292" s="16">
        <f t="shared" si="14"/>
        <v>0</v>
      </c>
      <c r="K292" s="6"/>
      <c r="L292" s="6"/>
      <c r="M292" s="65">
        <v>42085</v>
      </c>
      <c r="N292">
        <v>6655293</v>
      </c>
      <c r="O292">
        <v>8790283</v>
      </c>
    </row>
    <row r="293" spans="1:15">
      <c r="A293" s="21" t="s">
        <v>316</v>
      </c>
      <c r="B293" s="11" t="str">
        <f>VLOOKUP(A293,[1]Scrap!$A$3:$E$4580,3,FALSE)</f>
        <v>8X13602GAF1</v>
      </c>
      <c r="C293" s="12" t="s">
        <v>849</v>
      </c>
      <c r="D293" s="11" t="s">
        <v>401</v>
      </c>
      <c r="E293" s="14">
        <v>0.10122083333333333</v>
      </c>
      <c r="F293" s="14">
        <v>0.10122083333333333</v>
      </c>
      <c r="G293" s="14">
        <v>0.10122083333333333</v>
      </c>
      <c r="H293" s="17">
        <f t="shared" si="12"/>
        <v>0.10122083333333333</v>
      </c>
      <c r="I293" s="15">
        <f t="shared" si="13"/>
        <v>0</v>
      </c>
      <c r="J293" s="16">
        <f t="shared" si="14"/>
        <v>0</v>
      </c>
      <c r="K293" s="6"/>
      <c r="L293" s="6"/>
      <c r="M293" s="65">
        <v>42089</v>
      </c>
      <c r="N293">
        <v>2157182</v>
      </c>
      <c r="O293">
        <v>11105187</v>
      </c>
    </row>
    <row r="294" spans="1:15">
      <c r="A294" s="21" t="s">
        <v>317</v>
      </c>
      <c r="B294" s="11" t="str">
        <f>VLOOKUP(A294,[1]Scrap!$A$3:$E$4580,3,FALSE)</f>
        <v>8X13602IAF1</v>
      </c>
      <c r="C294" s="12" t="s">
        <v>850</v>
      </c>
      <c r="D294" s="11" t="s">
        <v>401</v>
      </c>
      <c r="E294" s="20">
        <v>0.10175000000000001</v>
      </c>
      <c r="F294" s="20">
        <v>0.10175000000000001</v>
      </c>
      <c r="G294" s="20">
        <v>0.10175000000000001</v>
      </c>
      <c r="H294" s="17">
        <f t="shared" si="12"/>
        <v>0.10175000000000001</v>
      </c>
      <c r="I294" s="15">
        <f t="shared" si="13"/>
        <v>0</v>
      </c>
      <c r="J294" s="16">
        <f t="shared" si="14"/>
        <v>0</v>
      </c>
      <c r="K294" s="6"/>
      <c r="L294" s="6"/>
      <c r="M294" s="65">
        <v>42093</v>
      </c>
      <c r="N294">
        <v>5877635</v>
      </c>
      <c r="O294">
        <v>7524028</v>
      </c>
    </row>
    <row r="295" spans="1:15">
      <c r="A295" s="21" t="s">
        <v>318</v>
      </c>
      <c r="B295" s="11" t="str">
        <f>VLOOKUP(A295,[1]Scrap!$A$3:$E$4580,3,FALSE)</f>
        <v>8X13602KAF1</v>
      </c>
      <c r="C295" s="12" t="s">
        <v>851</v>
      </c>
      <c r="D295" s="11" t="s">
        <v>401</v>
      </c>
      <c r="E295" s="14">
        <v>0.10225000000000001</v>
      </c>
      <c r="F295" s="14">
        <v>0.10225000000000001</v>
      </c>
      <c r="G295" s="14">
        <v>0.10225000000000001</v>
      </c>
      <c r="H295" s="17">
        <f t="shared" si="12"/>
        <v>0.10225000000000001</v>
      </c>
      <c r="I295" s="15">
        <f t="shared" si="13"/>
        <v>0</v>
      </c>
      <c r="J295" s="16">
        <f t="shared" si="14"/>
        <v>0</v>
      </c>
      <c r="K295" s="6"/>
      <c r="L295" s="6"/>
      <c r="M295" s="65">
        <v>42097</v>
      </c>
      <c r="N295">
        <v>5884187</v>
      </c>
      <c r="O295">
        <v>1913869</v>
      </c>
    </row>
    <row r="296" spans="1:15">
      <c r="A296" s="21" t="s">
        <v>319</v>
      </c>
      <c r="B296" s="11" t="str">
        <f>VLOOKUP(A296,[1]Scrap!$A$3:$E$4580,3,FALSE)</f>
        <v>8X13605AAF1</v>
      </c>
      <c r="C296" s="12" t="s">
        <v>852</v>
      </c>
      <c r="D296" s="11" t="s">
        <v>401</v>
      </c>
      <c r="E296" s="14">
        <v>0.11641760000000001</v>
      </c>
      <c r="F296" s="14">
        <v>0.11641760000000001</v>
      </c>
      <c r="G296" s="14">
        <v>0.11641760000000001</v>
      </c>
      <c r="H296" s="17">
        <f t="shared" si="12"/>
        <v>0.11641760000000001</v>
      </c>
      <c r="I296" s="15">
        <f t="shared" si="13"/>
        <v>0</v>
      </c>
      <c r="J296" s="16">
        <f t="shared" si="14"/>
        <v>0</v>
      </c>
      <c r="K296" s="6"/>
      <c r="L296" s="6"/>
      <c r="M296" s="65">
        <v>42101</v>
      </c>
      <c r="N296">
        <v>10599985</v>
      </c>
      <c r="O296">
        <v>3161589</v>
      </c>
    </row>
    <row r="297" spans="1:15">
      <c r="A297" s="21" t="s">
        <v>320</v>
      </c>
      <c r="B297" s="11" t="str">
        <f>VLOOKUP(A297,[1]Scrap!$A$3:$E$4580,3,FALSE)</f>
        <v>8X13606AAF1</v>
      </c>
      <c r="C297" s="12" t="s">
        <v>853</v>
      </c>
      <c r="D297" s="11" t="s">
        <v>401</v>
      </c>
      <c r="E297" s="14">
        <v>0.139875</v>
      </c>
      <c r="F297" s="14">
        <v>0.139875</v>
      </c>
      <c r="G297" s="14">
        <v>0.139875</v>
      </c>
      <c r="H297" s="17">
        <f t="shared" si="12"/>
        <v>0.139875</v>
      </c>
      <c r="I297" s="15">
        <f t="shared" si="13"/>
        <v>0</v>
      </c>
      <c r="J297" s="16">
        <f t="shared" si="14"/>
        <v>0</v>
      </c>
      <c r="K297" s="6"/>
      <c r="L297" s="6"/>
      <c r="M297" s="65">
        <v>42105</v>
      </c>
      <c r="N297">
        <v>1471845</v>
      </c>
      <c r="O297">
        <v>7843080</v>
      </c>
    </row>
    <row r="298" spans="1:15">
      <c r="A298" s="21" t="s">
        <v>4</v>
      </c>
      <c r="B298" s="11" t="str">
        <f>VLOOKUP(A298,[1]Scrap!$A$3:$E$4580,3,FALSE)</f>
        <v>8X13701DAF1</v>
      </c>
      <c r="C298" s="12" t="s">
        <v>854</v>
      </c>
      <c r="D298" s="11" t="s">
        <v>401</v>
      </c>
      <c r="E298" s="20">
        <v>0.13740000000000002</v>
      </c>
      <c r="F298" s="20">
        <v>0.13740000000000002</v>
      </c>
      <c r="G298" s="20">
        <v>0.13740000000000002</v>
      </c>
      <c r="H298" s="17">
        <f t="shared" si="12"/>
        <v>0.13740000000000002</v>
      </c>
      <c r="I298" s="15">
        <f t="shared" si="13"/>
        <v>0</v>
      </c>
      <c r="J298" s="16">
        <f t="shared" si="14"/>
        <v>0</v>
      </c>
      <c r="K298" s="6"/>
      <c r="L298" s="6"/>
      <c r="M298" s="65">
        <v>42109</v>
      </c>
      <c r="N298">
        <v>1536515</v>
      </c>
      <c r="O298">
        <v>10159549</v>
      </c>
    </row>
    <row r="299" spans="1:15">
      <c r="A299" s="21" t="s">
        <v>5</v>
      </c>
      <c r="B299" s="11" t="str">
        <f>VLOOKUP(A299,[1]Scrap!$A$3:$E$4580,3,FALSE)</f>
        <v>8X13701DAF1</v>
      </c>
      <c r="C299" s="12" t="s">
        <v>854</v>
      </c>
      <c r="D299" s="11" t="s">
        <v>401</v>
      </c>
      <c r="E299" s="14">
        <v>0.128</v>
      </c>
      <c r="F299" s="14">
        <v>0.128</v>
      </c>
      <c r="G299" s="14">
        <v>0.128</v>
      </c>
      <c r="H299" s="17">
        <f t="shared" si="12"/>
        <v>0.128</v>
      </c>
      <c r="I299" s="15">
        <f t="shared" si="13"/>
        <v>0</v>
      </c>
      <c r="J299" s="16">
        <f t="shared" si="14"/>
        <v>0</v>
      </c>
      <c r="K299" s="6"/>
      <c r="L299" s="6"/>
      <c r="M299" s="65">
        <v>42113</v>
      </c>
      <c r="N299">
        <v>2995880</v>
      </c>
      <c r="O299">
        <v>463548</v>
      </c>
    </row>
    <row r="300" spans="1:15">
      <c r="A300" s="21" t="s">
        <v>321</v>
      </c>
      <c r="B300" s="11" t="str">
        <f>VLOOKUP(A300,[1]Scrap!$A$3:$E$4580,3,FALSE)</f>
        <v>8X13702BAF1</v>
      </c>
      <c r="C300" s="12" t="s">
        <v>855</v>
      </c>
      <c r="D300" s="11" t="s">
        <v>401</v>
      </c>
      <c r="E300" s="14">
        <v>0.10807565749999999</v>
      </c>
      <c r="F300" s="14">
        <v>0.10807565749999999</v>
      </c>
      <c r="G300" s="14">
        <v>0.10807565749999999</v>
      </c>
      <c r="H300" s="17">
        <f t="shared" si="12"/>
        <v>0.10807565749999999</v>
      </c>
      <c r="I300" s="15">
        <f t="shared" si="13"/>
        <v>0</v>
      </c>
      <c r="J300" s="16">
        <f t="shared" si="14"/>
        <v>0</v>
      </c>
      <c r="K300" s="6"/>
      <c r="L300" s="6"/>
      <c r="M300" s="65">
        <v>42117</v>
      </c>
      <c r="N300">
        <v>2719405</v>
      </c>
      <c r="O300">
        <v>1015956</v>
      </c>
    </row>
    <row r="301" spans="1:15">
      <c r="A301" s="21" t="s">
        <v>322</v>
      </c>
      <c r="B301" s="11" t="str">
        <f>VLOOKUP(A301,[1]Scrap!$A$3:$E$4580,3,FALSE)</f>
        <v>8X13702DAF1</v>
      </c>
      <c r="C301" s="12" t="s">
        <v>856</v>
      </c>
      <c r="D301" s="11" t="s">
        <v>401</v>
      </c>
      <c r="E301" s="14">
        <v>0.10665469499999999</v>
      </c>
      <c r="F301" s="14">
        <v>0.10665469499999999</v>
      </c>
      <c r="G301" s="14">
        <v>0.10665469499999999</v>
      </c>
      <c r="H301" s="17">
        <f t="shared" si="12"/>
        <v>0.10665469499999999</v>
      </c>
      <c r="I301" s="15">
        <f t="shared" si="13"/>
        <v>0</v>
      </c>
      <c r="J301" s="16">
        <f t="shared" si="14"/>
        <v>0</v>
      </c>
      <c r="K301" s="6"/>
      <c r="L301" s="6"/>
      <c r="M301" s="65">
        <v>42121</v>
      </c>
      <c r="N301">
        <v>3200265</v>
      </c>
      <c r="O301">
        <v>7341703</v>
      </c>
    </row>
    <row r="302" spans="1:15">
      <c r="A302" s="21" t="s">
        <v>323</v>
      </c>
      <c r="B302" s="11" t="str">
        <f>VLOOKUP(A302,[1]Scrap!$A$3:$E$4580,3,FALSE)</f>
        <v>8X13704ABF1</v>
      </c>
      <c r="C302" s="12" t="s">
        <v>857</v>
      </c>
      <c r="D302" s="11" t="s">
        <v>71</v>
      </c>
      <c r="E302" s="14">
        <v>0</v>
      </c>
      <c r="F302" s="14">
        <v>0</v>
      </c>
      <c r="G302" s="14">
        <v>0.128</v>
      </c>
      <c r="H302" s="17">
        <f t="shared" si="12"/>
        <v>0.128</v>
      </c>
      <c r="I302" s="15">
        <f t="shared" si="13"/>
        <v>0</v>
      </c>
      <c r="J302" s="16">
        <f t="shared" si="14"/>
        <v>0</v>
      </c>
      <c r="K302" s="6"/>
      <c r="L302" s="6"/>
      <c r="M302" s="65">
        <v>42005</v>
      </c>
      <c r="N302">
        <v>12171456</v>
      </c>
      <c r="O302">
        <v>8434571</v>
      </c>
    </row>
    <row r="303" spans="1:15">
      <c r="A303" s="21" t="s">
        <v>265</v>
      </c>
      <c r="B303" s="11" t="str">
        <f>VLOOKUP(A303,[1]Scrap!$A$3:$E$4580,3,FALSE)</f>
        <v>8X12121AAF1</v>
      </c>
      <c r="C303" s="12" t="s">
        <v>858</v>
      </c>
      <c r="D303" s="11" t="s">
        <v>401</v>
      </c>
      <c r="E303" s="20">
        <v>0.13222499999999998</v>
      </c>
      <c r="F303" s="20">
        <v>0.13222499999999998</v>
      </c>
      <c r="G303" s="20">
        <v>0.13222499999999998</v>
      </c>
      <c r="H303" s="17">
        <f t="shared" si="12"/>
        <v>0.1332642857142857</v>
      </c>
      <c r="I303" s="15">
        <f t="shared" si="13"/>
        <v>1.0392857142857148E-3</v>
      </c>
      <c r="J303" s="16">
        <f t="shared" si="14"/>
        <v>7.8599789320152394E-3</v>
      </c>
      <c r="K303" s="6"/>
      <c r="L303" s="6"/>
      <c r="M303" s="65">
        <v>42009</v>
      </c>
      <c r="N303">
        <v>4108119</v>
      </c>
      <c r="O303">
        <v>3931665</v>
      </c>
    </row>
    <row r="304" spans="1:15">
      <c r="A304" s="21" t="s">
        <v>254</v>
      </c>
      <c r="B304" s="11" t="s">
        <v>503</v>
      </c>
      <c r="C304" s="12" t="s">
        <v>859</v>
      </c>
      <c r="D304" s="11" t="s">
        <v>401</v>
      </c>
      <c r="E304" s="14">
        <v>0</v>
      </c>
      <c r="F304" s="14">
        <v>0</v>
      </c>
      <c r="G304" s="14">
        <v>0.57499999999999996</v>
      </c>
      <c r="H304" s="17">
        <f t="shared" si="12"/>
        <v>0.58225000000000005</v>
      </c>
      <c r="I304" s="15">
        <f t="shared" si="13"/>
        <v>7.2500000000000897E-3</v>
      </c>
      <c r="J304" s="16">
        <f t="shared" si="14"/>
        <v>1.260869565217407E-2</v>
      </c>
      <c r="K304" s="6"/>
      <c r="L304" s="6"/>
      <c r="M304" s="65">
        <v>42013</v>
      </c>
      <c r="N304">
        <v>1856307</v>
      </c>
      <c r="O304">
        <v>10044746</v>
      </c>
    </row>
    <row r="305" spans="1:15">
      <c r="A305" s="58" t="s">
        <v>326</v>
      </c>
      <c r="B305" s="31" t="s">
        <v>534</v>
      </c>
      <c r="C305" s="31" t="s">
        <v>860</v>
      </c>
      <c r="D305" s="31" t="s">
        <v>71</v>
      </c>
      <c r="E305" s="46">
        <v>0</v>
      </c>
      <c r="F305" s="46">
        <v>2.8500000000000001E-2</v>
      </c>
      <c r="G305" s="46">
        <v>0</v>
      </c>
      <c r="H305" s="17">
        <f t="shared" si="12"/>
        <v>0</v>
      </c>
      <c r="I305" s="15">
        <f t="shared" si="13"/>
        <v>0</v>
      </c>
      <c r="J305" s="16">
        <f t="shared" si="14"/>
        <v>0</v>
      </c>
      <c r="K305" s="34"/>
      <c r="L305" s="34"/>
      <c r="M305" s="65">
        <v>42017</v>
      </c>
      <c r="N305">
        <v>3040400</v>
      </c>
      <c r="O305">
        <v>9051533</v>
      </c>
    </row>
    <row r="306" spans="1:15">
      <c r="A306" s="10" t="s">
        <v>255</v>
      </c>
      <c r="B306" s="11" t="s">
        <v>504</v>
      </c>
      <c r="C306" s="12" t="s">
        <v>861</v>
      </c>
      <c r="D306" s="11" t="s">
        <v>401</v>
      </c>
      <c r="E306" s="14">
        <v>0</v>
      </c>
      <c r="F306" s="14">
        <v>0.55400000000000005</v>
      </c>
      <c r="G306" s="14">
        <v>0.55400000000000005</v>
      </c>
      <c r="H306" s="17">
        <f t="shared" si="12"/>
        <v>0.56208333333333338</v>
      </c>
      <c r="I306" s="15">
        <f t="shared" si="13"/>
        <v>8.0833333333333313E-3</v>
      </c>
      <c r="J306" s="16">
        <f t="shared" si="14"/>
        <v>1.459085439229843E-2</v>
      </c>
      <c r="K306" s="6"/>
      <c r="L306" s="6"/>
      <c r="M306" s="65">
        <v>42021</v>
      </c>
      <c r="N306">
        <v>6575661</v>
      </c>
      <c r="O306">
        <v>11030023</v>
      </c>
    </row>
    <row r="307" spans="1:15">
      <c r="A307" s="58" t="s">
        <v>328</v>
      </c>
      <c r="B307" s="30" t="s">
        <v>535</v>
      </c>
      <c r="C307" s="31" t="s">
        <v>862</v>
      </c>
      <c r="D307" s="31" t="s">
        <v>401</v>
      </c>
      <c r="E307" s="59">
        <v>9.6958620689655134E-2</v>
      </c>
      <c r="F307" s="59">
        <v>0.112</v>
      </c>
      <c r="G307" s="59">
        <v>0.112</v>
      </c>
      <c r="H307" s="17">
        <f t="shared" si="12"/>
        <v>0.112</v>
      </c>
      <c r="I307" s="15">
        <f t="shared" si="13"/>
        <v>0</v>
      </c>
      <c r="J307" s="16">
        <f t="shared" si="14"/>
        <v>0</v>
      </c>
      <c r="K307" s="34"/>
      <c r="L307" s="34"/>
      <c r="M307" s="65">
        <v>42025</v>
      </c>
      <c r="N307">
        <v>1656190</v>
      </c>
      <c r="O307">
        <v>6280206</v>
      </c>
    </row>
    <row r="308" spans="1:15">
      <c r="A308" s="21" t="s">
        <v>253</v>
      </c>
      <c r="B308" s="11" t="str">
        <f>VLOOKUP(A308,[1]Scrap!$A$3:$E$4580,3,FALSE)</f>
        <v>8X12107OAF1</v>
      </c>
      <c r="C308" s="12" t="s">
        <v>863</v>
      </c>
      <c r="D308" s="11" t="s">
        <v>401</v>
      </c>
      <c r="E308" s="20">
        <v>0.55320000000000003</v>
      </c>
      <c r="F308" s="20">
        <v>0.55320000000000003</v>
      </c>
      <c r="G308" s="20">
        <v>0.55320000000000003</v>
      </c>
      <c r="H308" s="17">
        <f t="shared" si="12"/>
        <v>0.56511538461538469</v>
      </c>
      <c r="I308" s="15">
        <f t="shared" si="13"/>
        <v>1.1915384615384661E-2</v>
      </c>
      <c r="J308" s="16">
        <f t="shared" si="14"/>
        <v>2.153901774292238E-2</v>
      </c>
      <c r="K308" s="6"/>
      <c r="L308" s="6"/>
      <c r="M308" s="65">
        <v>42029</v>
      </c>
      <c r="N308">
        <v>2422250</v>
      </c>
      <c r="O308">
        <v>4617605</v>
      </c>
    </row>
    <row r="309" spans="1:15">
      <c r="A309" s="29" t="s">
        <v>330</v>
      </c>
      <c r="B309" s="30" t="s">
        <v>536</v>
      </c>
      <c r="C309" s="31" t="s">
        <v>864</v>
      </c>
      <c r="D309" s="30" t="s">
        <v>401</v>
      </c>
      <c r="E309" s="46">
        <v>4.2000000000000003E-2</v>
      </c>
      <c r="F309" s="46">
        <v>4.2000000000000003E-2</v>
      </c>
      <c r="G309" s="46">
        <v>6.4899999999999999E-2</v>
      </c>
      <c r="H309" s="17">
        <f t="shared" si="12"/>
        <v>6.4899999999999999E-2</v>
      </c>
      <c r="I309" s="15">
        <f t="shared" si="13"/>
        <v>0</v>
      </c>
      <c r="J309" s="16">
        <f t="shared" si="14"/>
        <v>0</v>
      </c>
      <c r="K309" s="35"/>
      <c r="L309" s="35"/>
      <c r="M309" s="65">
        <v>42033</v>
      </c>
      <c r="N309">
        <v>10669344</v>
      </c>
      <c r="O309">
        <v>5448140</v>
      </c>
    </row>
    <row r="310" spans="1:15">
      <c r="A310" s="10" t="s">
        <v>331</v>
      </c>
      <c r="B310" s="11" t="s">
        <v>537</v>
      </c>
      <c r="C310" s="12" t="s">
        <v>865</v>
      </c>
      <c r="D310" s="11" t="s">
        <v>401</v>
      </c>
      <c r="E310" s="20">
        <v>5.5800000000000002E-2</v>
      </c>
      <c r="F310" s="20">
        <v>5.5800000000000002E-2</v>
      </c>
      <c r="G310" s="20">
        <v>5.5800000000000002E-2</v>
      </c>
      <c r="H310" s="17">
        <f t="shared" si="12"/>
        <v>5.5800000000000002E-2</v>
      </c>
      <c r="I310" s="15">
        <f t="shared" si="13"/>
        <v>0</v>
      </c>
      <c r="J310" s="16">
        <f t="shared" si="14"/>
        <v>0</v>
      </c>
      <c r="K310" s="6"/>
      <c r="L310" s="6"/>
      <c r="M310" s="65">
        <v>42037</v>
      </c>
      <c r="N310">
        <v>291830</v>
      </c>
      <c r="O310">
        <v>10498598</v>
      </c>
    </row>
    <row r="311" spans="1:15">
      <c r="A311" s="10" t="s">
        <v>332</v>
      </c>
      <c r="B311" s="11" t="s">
        <v>538</v>
      </c>
      <c r="C311" s="12" t="s">
        <v>866</v>
      </c>
      <c r="D311" s="11" t="s">
        <v>401</v>
      </c>
      <c r="E311" s="37">
        <v>1.9699999999999999E-2</v>
      </c>
      <c r="F311" s="37">
        <v>1.9699999999999999E-2</v>
      </c>
      <c r="G311" s="37">
        <v>1.9699999999999999E-2</v>
      </c>
      <c r="H311" s="17">
        <f t="shared" si="12"/>
        <v>1.9699999999999999E-2</v>
      </c>
      <c r="I311" s="15">
        <f t="shared" si="13"/>
        <v>0</v>
      </c>
      <c r="J311" s="16">
        <f t="shared" si="14"/>
        <v>0</v>
      </c>
      <c r="K311" s="6"/>
      <c r="L311" s="6"/>
      <c r="M311" s="65">
        <v>42041</v>
      </c>
      <c r="N311">
        <v>6162386</v>
      </c>
      <c r="O311">
        <v>317803</v>
      </c>
    </row>
    <row r="312" spans="1:15">
      <c r="A312" s="10" t="s">
        <v>0</v>
      </c>
      <c r="B312" s="11" t="str">
        <f>VLOOKUP(A312,[1]Scrap!$A$3:$E$4580,3,FALSE)</f>
        <v>8X13901AAF1</v>
      </c>
      <c r="C312" s="12" t="s">
        <v>867</v>
      </c>
      <c r="D312" s="11" t="s">
        <v>401</v>
      </c>
      <c r="E312" s="14">
        <v>0.13059999999999999</v>
      </c>
      <c r="F312" s="14">
        <v>0.13059999999999999</v>
      </c>
      <c r="G312" s="14">
        <v>0.13059999999999999</v>
      </c>
      <c r="H312" s="17">
        <f t="shared" si="12"/>
        <v>0.13059999999999999</v>
      </c>
      <c r="I312" s="15">
        <f t="shared" si="13"/>
        <v>0</v>
      </c>
      <c r="J312" s="16">
        <f t="shared" si="14"/>
        <v>0</v>
      </c>
      <c r="K312" s="6"/>
      <c r="L312" s="6"/>
      <c r="M312" s="65">
        <v>42045</v>
      </c>
      <c r="N312">
        <v>1842616</v>
      </c>
      <c r="O312">
        <v>5615574</v>
      </c>
    </row>
    <row r="313" spans="1:15">
      <c r="A313" s="10" t="s">
        <v>333</v>
      </c>
      <c r="B313" s="11" t="str">
        <f>VLOOKUP(A313,[1]Scrap!$A$3:$E$4580,3,FALSE)</f>
        <v>8X13901CAF1</v>
      </c>
      <c r="C313" s="12" t="s">
        <v>868</v>
      </c>
      <c r="D313" s="11" t="s">
        <v>401</v>
      </c>
      <c r="E313" s="14">
        <v>0.125</v>
      </c>
      <c r="F313" s="14">
        <v>0.125</v>
      </c>
      <c r="G313" s="14">
        <v>0.125</v>
      </c>
      <c r="H313" s="17">
        <f t="shared" si="12"/>
        <v>0.125</v>
      </c>
      <c r="I313" s="15">
        <f t="shared" si="13"/>
        <v>0</v>
      </c>
      <c r="J313" s="16">
        <f t="shared" si="14"/>
        <v>0</v>
      </c>
      <c r="K313" s="6"/>
      <c r="L313" s="6"/>
      <c r="M313" s="65">
        <v>42049</v>
      </c>
      <c r="N313">
        <v>11186832</v>
      </c>
      <c r="O313">
        <v>1243818</v>
      </c>
    </row>
    <row r="314" spans="1:15">
      <c r="A314" s="21" t="s">
        <v>25</v>
      </c>
      <c r="B314" s="11" t="str">
        <f>VLOOKUP(A314,[1]Scrap!$A$3:$E$4580,3,FALSE)</f>
        <v>80111101AF1</v>
      </c>
      <c r="C314" s="12" t="s">
        <v>869</v>
      </c>
      <c r="D314" s="11" t="s">
        <v>401</v>
      </c>
      <c r="E314" s="14">
        <v>0.68704166666666666</v>
      </c>
      <c r="F314" s="14">
        <v>0.68704166666666666</v>
      </c>
      <c r="G314" s="14">
        <v>0.68704166666666666</v>
      </c>
      <c r="H314" s="17">
        <f t="shared" si="12"/>
        <v>0.70374999999999999</v>
      </c>
      <c r="I314" s="15">
        <f t="shared" si="13"/>
        <v>1.6708333333333325E-2</v>
      </c>
      <c r="J314" s="16">
        <f t="shared" si="14"/>
        <v>2.4319243131784813E-2</v>
      </c>
      <c r="K314" s="18" t="s">
        <v>237</v>
      </c>
      <c r="L314" s="19">
        <v>0.42332499999999995</v>
      </c>
      <c r="M314" s="65">
        <v>42053</v>
      </c>
      <c r="N314">
        <v>10193968</v>
      </c>
      <c r="O314">
        <v>4572641</v>
      </c>
    </row>
    <row r="315" spans="1:15">
      <c r="A315" s="21" t="s">
        <v>368</v>
      </c>
      <c r="B315" s="11" t="str">
        <f>VLOOKUP(A315,[1]Scrap!$A$3:$E$4580,3,FALSE)</f>
        <v>8X23207HAF1</v>
      </c>
      <c r="C315" s="12" t="s">
        <v>870</v>
      </c>
      <c r="D315" s="11" t="s">
        <v>401</v>
      </c>
      <c r="E315" s="14">
        <v>0.15177166666666669</v>
      </c>
      <c r="F315" s="14">
        <v>0.15177166666666669</v>
      </c>
      <c r="G315" s="14">
        <v>0.15177166666666669</v>
      </c>
      <c r="H315" s="17">
        <f t="shared" si="12"/>
        <v>0.15177166666666669</v>
      </c>
      <c r="I315" s="15">
        <f t="shared" si="13"/>
        <v>0</v>
      </c>
      <c r="J315" s="16">
        <f t="shared" si="14"/>
        <v>0</v>
      </c>
      <c r="K315" s="9"/>
      <c r="L315" s="9"/>
      <c r="M315" s="65">
        <v>42057</v>
      </c>
      <c r="N315">
        <v>7419939</v>
      </c>
      <c r="O315">
        <v>5896438</v>
      </c>
    </row>
    <row r="316" spans="1:15">
      <c r="A316" s="10" t="s">
        <v>335</v>
      </c>
      <c r="B316" s="11" t="s">
        <v>539</v>
      </c>
      <c r="C316" s="12" t="s">
        <v>871</v>
      </c>
      <c r="D316" s="11" t="s">
        <v>71</v>
      </c>
      <c r="E316" s="20">
        <v>8.1521212121212133E-2</v>
      </c>
      <c r="F316" s="20">
        <v>8.1521212121212133E-2</v>
      </c>
      <c r="G316" s="20">
        <v>0</v>
      </c>
      <c r="H316" s="17">
        <f t="shared" si="12"/>
        <v>0</v>
      </c>
      <c r="I316" s="15">
        <f t="shared" si="13"/>
        <v>0</v>
      </c>
      <c r="J316" s="16">
        <f t="shared" si="14"/>
        <v>0</v>
      </c>
      <c r="K316" s="6"/>
      <c r="L316" s="6"/>
      <c r="M316" s="65">
        <v>42061</v>
      </c>
      <c r="N316">
        <v>10946655</v>
      </c>
      <c r="O316">
        <v>4706096</v>
      </c>
    </row>
    <row r="317" spans="1:15">
      <c r="A317" s="10" t="s">
        <v>336</v>
      </c>
      <c r="B317" s="11" t="s">
        <v>540</v>
      </c>
      <c r="C317" s="12" t="s">
        <v>872</v>
      </c>
      <c r="D317" s="11" t="s">
        <v>401</v>
      </c>
      <c r="E317" s="20">
        <v>4.9599999999999998E-2</v>
      </c>
      <c r="F317" s="20">
        <v>4.9599999999999998E-2</v>
      </c>
      <c r="G317" s="20">
        <v>4.9599999999999998E-2</v>
      </c>
      <c r="H317" s="17">
        <f t="shared" si="12"/>
        <v>4.9599999999999998E-2</v>
      </c>
      <c r="I317" s="15">
        <f t="shared" si="13"/>
        <v>0</v>
      </c>
      <c r="J317" s="16">
        <f t="shared" si="14"/>
        <v>0</v>
      </c>
      <c r="K317" s="6"/>
      <c r="L317" s="6"/>
      <c r="M317" s="65">
        <v>42065</v>
      </c>
      <c r="N317">
        <v>9777973</v>
      </c>
      <c r="O317">
        <v>1519490</v>
      </c>
    </row>
    <row r="318" spans="1:15">
      <c r="A318" s="10" t="s">
        <v>337</v>
      </c>
      <c r="B318" s="11" t="s">
        <v>541</v>
      </c>
      <c r="C318" s="12" t="s">
        <v>873</v>
      </c>
      <c r="D318" s="11" t="s">
        <v>71</v>
      </c>
      <c r="E318" s="14">
        <v>0</v>
      </c>
      <c r="F318" s="14">
        <v>0</v>
      </c>
      <c r="G318" s="14">
        <v>5.0999999999999997E-2</v>
      </c>
      <c r="H318" s="17">
        <f t="shared" si="12"/>
        <v>5.0999999999999997E-2</v>
      </c>
      <c r="I318" s="15">
        <f t="shared" si="13"/>
        <v>0</v>
      </c>
      <c r="J318" s="16">
        <f t="shared" si="14"/>
        <v>0</v>
      </c>
      <c r="K318" s="6"/>
      <c r="L318" s="6"/>
      <c r="M318" s="65">
        <v>42069</v>
      </c>
      <c r="N318">
        <v>2708477</v>
      </c>
      <c r="O318">
        <v>7964841</v>
      </c>
    </row>
    <row r="319" spans="1:15">
      <c r="A319" s="10" t="s">
        <v>338</v>
      </c>
      <c r="B319" s="11" t="s">
        <v>542</v>
      </c>
      <c r="C319" s="12" t="s">
        <v>874</v>
      </c>
      <c r="D319" s="11" t="s">
        <v>401</v>
      </c>
      <c r="E319" s="20">
        <v>0.1293</v>
      </c>
      <c r="F319" s="20">
        <v>0.1293</v>
      </c>
      <c r="G319" s="20">
        <v>0.1293</v>
      </c>
      <c r="H319" s="17">
        <f t="shared" si="12"/>
        <v>0.1293</v>
      </c>
      <c r="I319" s="15">
        <f t="shared" si="13"/>
        <v>0</v>
      </c>
      <c r="J319" s="16">
        <f t="shared" si="14"/>
        <v>0</v>
      </c>
      <c r="K319" s="9"/>
      <c r="L319" s="9"/>
      <c r="M319" s="65">
        <v>42073</v>
      </c>
      <c r="N319">
        <v>2050522</v>
      </c>
      <c r="O319">
        <v>7990355</v>
      </c>
    </row>
    <row r="320" spans="1:15">
      <c r="A320" s="21" t="s">
        <v>371</v>
      </c>
      <c r="B320" s="11" t="str">
        <f>VLOOKUP(A320,[1]Scrap!$A$3:$E$4580,3,FALSE)</f>
        <v>8X23209KAF1</v>
      </c>
      <c r="C320" s="12" t="s">
        <v>875</v>
      </c>
      <c r="D320" s="11" t="s">
        <v>401</v>
      </c>
      <c r="E320" s="20">
        <v>0.14978750000000002</v>
      </c>
      <c r="F320" s="20">
        <v>0.14978750000000002</v>
      </c>
      <c r="G320" s="20">
        <v>0.14978750000000002</v>
      </c>
      <c r="H320" s="17">
        <f t="shared" si="12"/>
        <v>0.15407857142857143</v>
      </c>
      <c r="I320" s="15">
        <f t="shared" si="13"/>
        <v>4.291071428571408E-3</v>
      </c>
      <c r="J320" s="16">
        <f t="shared" si="14"/>
        <v>2.8647727137253828E-2</v>
      </c>
      <c r="K320" s="9"/>
      <c r="L320" s="9"/>
      <c r="M320" s="65">
        <v>42077</v>
      </c>
      <c r="N320">
        <v>7312820</v>
      </c>
      <c r="O320">
        <v>375688</v>
      </c>
    </row>
    <row r="321" spans="1:15">
      <c r="A321" s="21" t="s">
        <v>340</v>
      </c>
      <c r="B321" s="11" t="str">
        <f>VLOOKUP(A321,[1]Scrap!$A$3:$E$4580,3,FALSE)</f>
        <v>8X16001FAF1</v>
      </c>
      <c r="C321" s="12" t="s">
        <v>876</v>
      </c>
      <c r="D321" s="11" t="s">
        <v>401</v>
      </c>
      <c r="E321" s="14">
        <v>0.39709942999999998</v>
      </c>
      <c r="F321" s="14">
        <v>0.39709942999999998</v>
      </c>
      <c r="G321" s="14">
        <v>0.39709942999999998</v>
      </c>
      <c r="H321" s="17">
        <f t="shared" si="12"/>
        <v>0.39709942999999998</v>
      </c>
      <c r="I321" s="15">
        <f t="shared" si="13"/>
        <v>0</v>
      </c>
      <c r="J321" s="16">
        <f t="shared" si="14"/>
        <v>0</v>
      </c>
      <c r="K321" s="6"/>
      <c r="L321" s="6"/>
      <c r="M321" s="65">
        <v>42081</v>
      </c>
      <c r="N321">
        <v>7233275</v>
      </c>
      <c r="O321">
        <v>3584227</v>
      </c>
    </row>
    <row r="322" spans="1:15">
      <c r="A322" s="21" t="s">
        <v>341</v>
      </c>
      <c r="B322" s="11" t="str">
        <f>VLOOKUP(A322,[1]Scrap!$A$3:$E$4580,3,FALSE)</f>
        <v>8X16001GAF1</v>
      </c>
      <c r="C322" s="12" t="s">
        <v>877</v>
      </c>
      <c r="D322" s="11" t="s">
        <v>401</v>
      </c>
      <c r="E322" s="14">
        <v>0.39720944000000002</v>
      </c>
      <c r="F322" s="14">
        <v>0.39720944000000002</v>
      </c>
      <c r="G322" s="14">
        <v>0.39720944000000002</v>
      </c>
      <c r="H322" s="17">
        <f t="shared" ref="H322:H383" si="15">IFERROR(INDEX($K$2:$L$116,MATCH($A322,$K$2:$K$116,0),2),G322)</f>
        <v>0.39720944000000002</v>
      </c>
      <c r="I322" s="15">
        <f t="shared" ref="I322:I383" si="16">H322-G322</f>
        <v>0</v>
      </c>
      <c r="J322" s="16">
        <f t="shared" ref="J322:J383" si="17">IF(G322&lt;&gt;0,I322/G322,)</f>
        <v>0</v>
      </c>
      <c r="K322" s="6"/>
      <c r="L322" s="6"/>
      <c r="M322" s="65">
        <v>42085</v>
      </c>
      <c r="N322">
        <v>9698547</v>
      </c>
      <c r="O322">
        <v>8267751</v>
      </c>
    </row>
    <row r="323" spans="1:15">
      <c r="A323" s="10" t="s">
        <v>102</v>
      </c>
      <c r="B323" s="11" t="s">
        <v>435</v>
      </c>
      <c r="C323" s="12" t="s">
        <v>878</v>
      </c>
      <c r="D323" s="11" t="s">
        <v>401</v>
      </c>
      <c r="E323" s="37">
        <v>6.9000000000000006E-2</v>
      </c>
      <c r="F323" s="37">
        <v>6.9000000000000006E-2</v>
      </c>
      <c r="G323" s="37">
        <v>6.9000000000000006E-2</v>
      </c>
      <c r="H323" s="17">
        <f t="shared" si="15"/>
        <v>7.1486217948717928E-2</v>
      </c>
      <c r="I323" s="15">
        <f t="shared" si="16"/>
        <v>2.4862179487179226E-3</v>
      </c>
      <c r="J323" s="16">
        <f t="shared" si="17"/>
        <v>3.6032144184317716E-2</v>
      </c>
      <c r="K323" s="18" t="s">
        <v>387</v>
      </c>
      <c r="L323" s="19">
        <v>0.90075000000000005</v>
      </c>
      <c r="M323" s="65">
        <v>42089</v>
      </c>
      <c r="N323">
        <v>4433883</v>
      </c>
      <c r="O323">
        <v>7262678</v>
      </c>
    </row>
    <row r="324" spans="1:15">
      <c r="A324" s="10" t="s">
        <v>296</v>
      </c>
      <c r="B324" s="11" t="s">
        <v>525</v>
      </c>
      <c r="C324" s="12" t="s">
        <v>879</v>
      </c>
      <c r="D324" s="11" t="s">
        <v>401</v>
      </c>
      <c r="E324" s="14">
        <v>2.8500000000000001E-2</v>
      </c>
      <c r="F324" s="14">
        <v>2.4E-2</v>
      </c>
      <c r="G324" s="14">
        <v>2.4E-2</v>
      </c>
      <c r="H324" s="17">
        <f t="shared" si="15"/>
        <v>2.4869086881355931E-2</v>
      </c>
      <c r="I324" s="15">
        <f t="shared" si="16"/>
        <v>8.6908688135593076E-4</v>
      </c>
      <c r="J324" s="16">
        <f t="shared" si="17"/>
        <v>3.6211953389830451E-2</v>
      </c>
      <c r="K324" s="27"/>
      <c r="L324" s="27"/>
      <c r="M324" s="65">
        <v>42093</v>
      </c>
      <c r="N324">
        <v>1605696</v>
      </c>
      <c r="O324">
        <v>1236610</v>
      </c>
    </row>
    <row r="325" spans="1:15">
      <c r="A325" s="21" t="s">
        <v>344</v>
      </c>
      <c r="B325" s="11" t="str">
        <f>VLOOKUP(A325,[1]Scrap!$A$3:$E$4580,3,FALSE)</f>
        <v>8X16001KAF1</v>
      </c>
      <c r="C325" s="12" t="s">
        <v>880</v>
      </c>
      <c r="D325" s="11" t="s">
        <v>401</v>
      </c>
      <c r="E325" s="14">
        <v>0.57799999999999996</v>
      </c>
      <c r="F325" s="14">
        <v>0.57799999999999996</v>
      </c>
      <c r="G325" s="14">
        <v>0.57799999999999996</v>
      </c>
      <c r="H325" s="17">
        <f t="shared" si="15"/>
        <v>0.57799999999999996</v>
      </c>
      <c r="I325" s="15">
        <f t="shared" si="16"/>
        <v>0</v>
      </c>
      <c r="J325" s="16">
        <f t="shared" si="17"/>
        <v>0</v>
      </c>
      <c r="K325" s="6"/>
      <c r="L325" s="6"/>
      <c r="M325" s="65">
        <v>42097</v>
      </c>
      <c r="N325">
        <v>3335489</v>
      </c>
      <c r="O325">
        <v>10455917</v>
      </c>
    </row>
    <row r="326" spans="1:15">
      <c r="A326" s="10" t="s">
        <v>345</v>
      </c>
      <c r="B326" s="11" t="s">
        <v>543</v>
      </c>
      <c r="C326" s="12" t="s">
        <v>881</v>
      </c>
      <c r="D326" s="11" t="s">
        <v>71</v>
      </c>
      <c r="E326" s="14">
        <v>0.57799999999999996</v>
      </c>
      <c r="F326" s="14">
        <v>0</v>
      </c>
      <c r="G326" s="14">
        <v>0.1101</v>
      </c>
      <c r="H326" s="17">
        <f t="shared" si="15"/>
        <v>0.1101</v>
      </c>
      <c r="I326" s="15">
        <f t="shared" si="16"/>
        <v>0</v>
      </c>
      <c r="J326" s="16">
        <f t="shared" si="17"/>
        <v>0</v>
      </c>
      <c r="K326" s="6"/>
      <c r="L326" s="6"/>
      <c r="M326" s="65">
        <v>42101</v>
      </c>
      <c r="N326">
        <v>6041042</v>
      </c>
      <c r="O326">
        <v>11765861</v>
      </c>
    </row>
    <row r="327" spans="1:15">
      <c r="A327" s="10" t="s">
        <v>111</v>
      </c>
      <c r="B327" s="11" t="s">
        <v>440</v>
      </c>
      <c r="C327" s="12" t="s">
        <v>882</v>
      </c>
      <c r="D327" s="11" t="s">
        <v>401</v>
      </c>
      <c r="E327" s="14">
        <v>0.18229999999999999</v>
      </c>
      <c r="F327" s="14">
        <v>0.18229999999999999</v>
      </c>
      <c r="G327" s="14">
        <v>0.18229999999999999</v>
      </c>
      <c r="H327" s="17">
        <f t="shared" si="15"/>
        <v>0.18921874999999999</v>
      </c>
      <c r="I327" s="15">
        <f t="shared" si="16"/>
        <v>6.9187500000000013E-3</v>
      </c>
      <c r="J327" s="16">
        <f t="shared" si="17"/>
        <v>3.7952550740537584E-2</v>
      </c>
      <c r="K327" s="18" t="s">
        <v>98</v>
      </c>
      <c r="L327" s="19">
        <v>0.10503197115384613</v>
      </c>
      <c r="M327" s="65">
        <v>42105</v>
      </c>
      <c r="N327">
        <v>5572968</v>
      </c>
      <c r="O327">
        <v>7956781</v>
      </c>
    </row>
    <row r="328" spans="1:15">
      <c r="A328" s="21" t="s">
        <v>98</v>
      </c>
      <c r="B328" s="11" t="str">
        <f>VLOOKUP(A328,[1]Scrap!$A$3:$E$4580,3,FALSE)</f>
        <v>80496704CF1</v>
      </c>
      <c r="C328" s="12" t="s">
        <v>883</v>
      </c>
      <c r="D328" s="11" t="s">
        <v>401</v>
      </c>
      <c r="E328" s="20">
        <v>0.10596318407960195</v>
      </c>
      <c r="F328" s="20">
        <v>0.10100000000000001</v>
      </c>
      <c r="G328" s="20">
        <v>0.10100000000000001</v>
      </c>
      <c r="H328" s="17">
        <f t="shared" si="15"/>
        <v>0.10100000000000001</v>
      </c>
      <c r="I328" s="15">
        <f t="shared" si="16"/>
        <v>0</v>
      </c>
      <c r="J328" s="16">
        <f t="shared" si="17"/>
        <v>0</v>
      </c>
      <c r="K328" s="18" t="s">
        <v>54</v>
      </c>
      <c r="L328" s="19">
        <v>0.16638750000000002</v>
      </c>
      <c r="M328" s="65">
        <v>42109</v>
      </c>
      <c r="N328">
        <v>3672877</v>
      </c>
      <c r="O328">
        <v>6525443</v>
      </c>
    </row>
    <row r="329" spans="1:15">
      <c r="A329" s="21" t="s">
        <v>348</v>
      </c>
      <c r="B329" s="11" t="str">
        <f>VLOOKUP(A329,[1]Scrap!$A$3:$E$4580,3,FALSE)</f>
        <v>8X16002HAF1</v>
      </c>
      <c r="C329" s="12" t="s">
        <v>884</v>
      </c>
      <c r="D329" s="11" t="s">
        <v>401</v>
      </c>
      <c r="E329" s="14">
        <v>0.43272530000000003</v>
      </c>
      <c r="F329" s="14">
        <v>0.43272530000000003</v>
      </c>
      <c r="G329" s="14">
        <v>0.43272530000000003</v>
      </c>
      <c r="H329" s="17">
        <f t="shared" si="15"/>
        <v>0.43272530000000003</v>
      </c>
      <c r="I329" s="15">
        <f t="shared" si="16"/>
        <v>0</v>
      </c>
      <c r="J329" s="16">
        <f t="shared" si="17"/>
        <v>0</v>
      </c>
      <c r="K329" s="6"/>
      <c r="L329" s="6"/>
      <c r="M329" s="65">
        <v>42113</v>
      </c>
      <c r="N329">
        <v>312257</v>
      </c>
      <c r="O329">
        <v>2173119</v>
      </c>
    </row>
    <row r="330" spans="1:15">
      <c r="A330" s="21" t="s">
        <v>349</v>
      </c>
      <c r="B330" s="11" t="str">
        <f>VLOOKUP(A330,[1]Scrap!$A$3:$E$4580,3,FALSE)</f>
        <v>8X16002JAF1</v>
      </c>
      <c r="C330" s="12" t="s">
        <v>885</v>
      </c>
      <c r="D330" s="11" t="s">
        <v>71</v>
      </c>
      <c r="E330" s="14">
        <v>0</v>
      </c>
      <c r="F330" s="14">
        <v>0</v>
      </c>
      <c r="G330" s="14">
        <v>0.246</v>
      </c>
      <c r="H330" s="17">
        <f t="shared" si="15"/>
        <v>0.246</v>
      </c>
      <c r="I330" s="15">
        <f t="shared" si="16"/>
        <v>0</v>
      </c>
      <c r="J330" s="16">
        <f t="shared" si="17"/>
        <v>0</v>
      </c>
      <c r="K330" s="57"/>
      <c r="L330" s="57"/>
      <c r="M330" s="65">
        <v>42117</v>
      </c>
      <c r="N330">
        <v>3134754</v>
      </c>
      <c r="O330">
        <v>4004569</v>
      </c>
    </row>
    <row r="331" spans="1:15">
      <c r="A331" s="10" t="s">
        <v>350</v>
      </c>
      <c r="B331" s="11" t="s">
        <v>544</v>
      </c>
      <c r="C331" s="12" t="s">
        <v>886</v>
      </c>
      <c r="D331" s="11" t="s">
        <v>71</v>
      </c>
      <c r="E331" s="14">
        <v>0</v>
      </c>
      <c r="F331" s="14">
        <v>0</v>
      </c>
      <c r="G331" s="14">
        <v>0.247</v>
      </c>
      <c r="H331" s="17">
        <f t="shared" si="15"/>
        <v>0.247</v>
      </c>
      <c r="I331" s="15">
        <f t="shared" si="16"/>
        <v>0</v>
      </c>
      <c r="J331" s="16">
        <f t="shared" si="17"/>
        <v>0</v>
      </c>
      <c r="K331" s="6"/>
      <c r="L331" s="6"/>
      <c r="M331" s="65">
        <v>42121</v>
      </c>
      <c r="N331">
        <v>3261002</v>
      </c>
      <c r="O331">
        <v>6632189</v>
      </c>
    </row>
    <row r="332" spans="1:15">
      <c r="A332" s="10" t="s">
        <v>110</v>
      </c>
      <c r="B332" s="11" t="s">
        <v>439</v>
      </c>
      <c r="C332" s="12" t="s">
        <v>887</v>
      </c>
      <c r="D332" s="11" t="s">
        <v>401</v>
      </c>
      <c r="E332" s="20">
        <v>0.26110833333333333</v>
      </c>
      <c r="F332" s="20">
        <v>0.26110833333333333</v>
      </c>
      <c r="G332" s="20">
        <v>0.26110833333333333</v>
      </c>
      <c r="H332" s="17">
        <f t="shared" si="15"/>
        <v>0.27171382764227647</v>
      </c>
      <c r="I332" s="15">
        <f t="shared" si="16"/>
        <v>1.0605494308943142E-2</v>
      </c>
      <c r="J332" s="16">
        <f t="shared" si="17"/>
        <v>4.0617218813173879E-2</v>
      </c>
      <c r="K332" s="43" t="s">
        <v>566</v>
      </c>
      <c r="L332" s="19">
        <v>0.51950000000000007</v>
      </c>
      <c r="M332" s="65">
        <v>42005</v>
      </c>
      <c r="N332">
        <v>3373520</v>
      </c>
      <c r="O332">
        <v>10380651</v>
      </c>
    </row>
    <row r="333" spans="1:15">
      <c r="A333" s="21" t="s">
        <v>352</v>
      </c>
      <c r="B333" s="11" t="str">
        <f>VLOOKUP(A333,[1]Scrap!$A$3:$E$4580,3,FALSE)</f>
        <v>8X16003FAF1</v>
      </c>
      <c r="C333" s="12" t="s">
        <v>888</v>
      </c>
      <c r="D333" s="11" t="s">
        <v>71</v>
      </c>
      <c r="E333" s="14">
        <v>0</v>
      </c>
      <c r="F333" s="14">
        <v>0</v>
      </c>
      <c r="G333" s="14">
        <v>0.155</v>
      </c>
      <c r="H333" s="17">
        <f t="shared" si="15"/>
        <v>0.155</v>
      </c>
      <c r="I333" s="15">
        <f t="shared" si="16"/>
        <v>0</v>
      </c>
      <c r="J333" s="16">
        <f t="shared" si="17"/>
        <v>0</v>
      </c>
      <c r="K333" s="6"/>
      <c r="L333" s="6"/>
      <c r="M333" s="65">
        <v>42009</v>
      </c>
      <c r="N333">
        <v>1772000</v>
      </c>
      <c r="O333">
        <v>10305040</v>
      </c>
    </row>
    <row r="334" spans="1:15">
      <c r="A334" s="21" t="s">
        <v>353</v>
      </c>
      <c r="B334" s="11" t="str">
        <f>VLOOKUP(A334,[1]Scrap!$A$3:$E$4580,3,FALSE)</f>
        <v>8X16003GAF1</v>
      </c>
      <c r="C334" s="12" t="s">
        <v>889</v>
      </c>
      <c r="D334" s="11" t="s">
        <v>71</v>
      </c>
      <c r="E334" s="14">
        <v>0</v>
      </c>
      <c r="F334" s="14">
        <v>0</v>
      </c>
      <c r="G334" s="14">
        <v>0.32300000000000001</v>
      </c>
      <c r="H334" s="17">
        <f t="shared" si="15"/>
        <v>0.32300000000000001</v>
      </c>
      <c r="I334" s="15">
        <f t="shared" si="16"/>
        <v>0</v>
      </c>
      <c r="J334" s="16">
        <f t="shared" si="17"/>
        <v>0</v>
      </c>
      <c r="K334" s="6"/>
      <c r="L334" s="6"/>
      <c r="M334" s="65">
        <v>42013</v>
      </c>
      <c r="N334">
        <v>9406409</v>
      </c>
      <c r="O334">
        <v>6463651</v>
      </c>
    </row>
    <row r="335" spans="1:15">
      <c r="A335" s="21" t="s">
        <v>388</v>
      </c>
      <c r="B335" s="11" t="str">
        <f>VLOOKUP(A335,[1]Scrap!$A$3:$E$4580,3,FALSE)</f>
        <v>8X33211AAF1</v>
      </c>
      <c r="C335" s="12" t="s">
        <v>890</v>
      </c>
      <c r="D335" s="11" t="s">
        <v>401</v>
      </c>
      <c r="E335" s="14">
        <v>0.53941666666666677</v>
      </c>
      <c r="F335" s="14">
        <v>0.53941666666666677</v>
      </c>
      <c r="G335" s="14">
        <v>0.53941666666666677</v>
      </c>
      <c r="H335" s="17">
        <f t="shared" si="15"/>
        <v>0.53941666666666677</v>
      </c>
      <c r="I335" s="15">
        <f t="shared" si="16"/>
        <v>0</v>
      </c>
      <c r="J335" s="16">
        <f t="shared" si="17"/>
        <v>0</v>
      </c>
      <c r="K335" s="9"/>
      <c r="L335" s="9"/>
      <c r="M335" s="65">
        <v>42017</v>
      </c>
      <c r="N335">
        <v>7486537</v>
      </c>
      <c r="O335">
        <v>5486437</v>
      </c>
    </row>
    <row r="336" spans="1:15">
      <c r="A336" s="21" t="s">
        <v>355</v>
      </c>
      <c r="B336" s="11" t="str">
        <f>VLOOKUP(A336,[1]Scrap!$A$3:$E$4580,3,FALSE)</f>
        <v>8X16004AAF1</v>
      </c>
      <c r="C336" s="12" t="s">
        <v>891</v>
      </c>
      <c r="D336" s="11" t="s">
        <v>401</v>
      </c>
      <c r="E336" s="14">
        <v>0.15825000000000003</v>
      </c>
      <c r="F336" s="14">
        <v>0.15825000000000003</v>
      </c>
      <c r="G336" s="14">
        <v>0.15825000000000003</v>
      </c>
      <c r="H336" s="17">
        <f t="shared" si="15"/>
        <v>0.15825000000000003</v>
      </c>
      <c r="I336" s="15">
        <f t="shared" si="16"/>
        <v>0</v>
      </c>
      <c r="J336" s="16">
        <f t="shared" si="17"/>
        <v>0</v>
      </c>
      <c r="K336" s="57"/>
      <c r="L336" s="57"/>
      <c r="M336" s="65">
        <v>42021</v>
      </c>
      <c r="N336">
        <v>5450293</v>
      </c>
      <c r="O336">
        <v>11125920</v>
      </c>
    </row>
    <row r="337" spans="1:15">
      <c r="A337" s="21" t="s">
        <v>356</v>
      </c>
      <c r="B337" s="11" t="str">
        <f>VLOOKUP(A337,[1]Scrap!$A$3:$E$4580,3,FALSE)</f>
        <v>8X16004BAF1</v>
      </c>
      <c r="C337" s="12" t="s">
        <v>892</v>
      </c>
      <c r="D337" s="11" t="s">
        <v>401</v>
      </c>
      <c r="E337" s="14">
        <v>0.31211670499999999</v>
      </c>
      <c r="F337" s="14">
        <v>0.31211670499999999</v>
      </c>
      <c r="G337" s="14">
        <v>0.31211670499999999</v>
      </c>
      <c r="H337" s="17">
        <f t="shared" si="15"/>
        <v>0.31211670499999999</v>
      </c>
      <c r="I337" s="15">
        <f t="shared" si="16"/>
        <v>0</v>
      </c>
      <c r="J337" s="16">
        <f t="shared" si="17"/>
        <v>0</v>
      </c>
      <c r="K337" s="6"/>
      <c r="L337" s="6"/>
      <c r="M337" s="65">
        <v>42025</v>
      </c>
      <c r="N337">
        <v>5339809</v>
      </c>
      <c r="O337">
        <v>9159754</v>
      </c>
    </row>
    <row r="338" spans="1:15">
      <c r="A338" s="21" t="s">
        <v>127</v>
      </c>
      <c r="B338" s="11" t="str">
        <f>VLOOKUP(A338,[1]Scrap!$A$3:$E$4580,3,FALSE)</f>
        <v>80498801CF1</v>
      </c>
      <c r="C338" s="12" t="s">
        <v>893</v>
      </c>
      <c r="D338" s="11" t="s">
        <v>401</v>
      </c>
      <c r="E338" s="20">
        <v>9.6766666666666667E-2</v>
      </c>
      <c r="F338" s="20">
        <v>9.6766666666666667E-2</v>
      </c>
      <c r="G338" s="20">
        <v>9.6766666666666667E-2</v>
      </c>
      <c r="H338" s="17">
        <f t="shared" si="15"/>
        <v>0.10248500000000001</v>
      </c>
      <c r="I338" s="15">
        <f t="shared" si="16"/>
        <v>5.7183333333333392E-3</v>
      </c>
      <c r="J338" s="16">
        <f t="shared" si="17"/>
        <v>5.9094040647605983E-2</v>
      </c>
      <c r="K338" s="18" t="s">
        <v>134</v>
      </c>
      <c r="L338" s="19">
        <v>2.8764583333333333E-2</v>
      </c>
      <c r="M338" s="65">
        <v>42029</v>
      </c>
      <c r="N338">
        <v>1244713</v>
      </c>
      <c r="O338">
        <v>8515931</v>
      </c>
    </row>
    <row r="339" spans="1:15">
      <c r="A339" s="21" t="s">
        <v>358</v>
      </c>
      <c r="B339" s="11" t="str">
        <f>VLOOKUP(A339,[1]Scrap!$A$3:$E$4580,3,FALSE)</f>
        <v>8X21002AAF1</v>
      </c>
      <c r="C339" s="12" t="s">
        <v>894</v>
      </c>
      <c r="D339" s="11" t="s">
        <v>401</v>
      </c>
      <c r="E339" s="20">
        <v>0.19839999999999999</v>
      </c>
      <c r="F339" s="20">
        <v>0.19839999999999999</v>
      </c>
      <c r="G339" s="20">
        <v>0.19839999999999999</v>
      </c>
      <c r="H339" s="17">
        <f t="shared" si="15"/>
        <v>0.19839999999999999</v>
      </c>
      <c r="I339" s="15">
        <f t="shared" si="16"/>
        <v>0</v>
      </c>
      <c r="J339" s="16">
        <f t="shared" si="17"/>
        <v>0</v>
      </c>
      <c r="K339" s="25"/>
      <c r="L339" s="25"/>
      <c r="M339" s="65">
        <v>42033</v>
      </c>
      <c r="N339">
        <v>4859176</v>
      </c>
      <c r="O339">
        <v>2906073</v>
      </c>
    </row>
    <row r="340" spans="1:15">
      <c r="A340" s="21" t="s">
        <v>359</v>
      </c>
      <c r="B340" s="11" t="str">
        <f>VLOOKUP(A340,[1]Scrap!$A$3:$E$4580,3,FALSE)</f>
        <v>8X21003BAF1</v>
      </c>
      <c r="C340" s="12" t="s">
        <v>895</v>
      </c>
      <c r="D340" s="11" t="s">
        <v>401</v>
      </c>
      <c r="E340" s="37">
        <v>0.10199999999999999</v>
      </c>
      <c r="F340" s="37">
        <v>0.10199999999999999</v>
      </c>
      <c r="G340" s="37">
        <v>0.10199999999999999</v>
      </c>
      <c r="H340" s="17">
        <f t="shared" si="15"/>
        <v>0.10199999999999999</v>
      </c>
      <c r="I340" s="15">
        <f t="shared" si="16"/>
        <v>0</v>
      </c>
      <c r="J340" s="16">
        <f t="shared" si="17"/>
        <v>0</v>
      </c>
      <c r="K340" s="6"/>
      <c r="L340" s="6"/>
      <c r="M340" s="65">
        <v>42037</v>
      </c>
      <c r="N340">
        <v>7869087</v>
      </c>
      <c r="O340">
        <v>6468948</v>
      </c>
    </row>
    <row r="341" spans="1:15">
      <c r="A341" s="10" t="s">
        <v>105</v>
      </c>
      <c r="B341" s="11" t="str">
        <f>VLOOKUP(A341,[1]Scrap!$A$3:$E$4580,3,FALSE)</f>
        <v>80496713AF1</v>
      </c>
      <c r="C341" s="12" t="s">
        <v>896</v>
      </c>
      <c r="D341" s="11" t="s">
        <v>401</v>
      </c>
      <c r="E341" s="14">
        <v>0.11968833333333334</v>
      </c>
      <c r="F341" s="14">
        <v>0.192</v>
      </c>
      <c r="G341" s="14">
        <v>0.10290000000000001</v>
      </c>
      <c r="H341" s="17">
        <f t="shared" si="15"/>
        <v>0.10955357142857143</v>
      </c>
      <c r="I341" s="15">
        <f t="shared" si="16"/>
        <v>6.6535714285714254E-3</v>
      </c>
      <c r="J341" s="16">
        <f t="shared" si="17"/>
        <v>6.4660558100791299E-2</v>
      </c>
      <c r="K341" s="18" t="s">
        <v>393</v>
      </c>
      <c r="L341" s="19">
        <v>0.60350000000000004</v>
      </c>
      <c r="M341" s="65">
        <v>42041</v>
      </c>
      <c r="N341">
        <v>4753882</v>
      </c>
      <c r="O341">
        <v>6945792</v>
      </c>
    </row>
    <row r="342" spans="1:15">
      <c r="A342" s="10" t="s">
        <v>361</v>
      </c>
      <c r="B342" s="11" t="s">
        <v>546</v>
      </c>
      <c r="C342" s="12" t="s">
        <v>897</v>
      </c>
      <c r="D342" s="11" t="s">
        <v>71</v>
      </c>
      <c r="E342" s="14">
        <v>0</v>
      </c>
      <c r="F342" s="14">
        <v>0</v>
      </c>
      <c r="G342" s="14">
        <v>0.1</v>
      </c>
      <c r="H342" s="17">
        <f t="shared" si="15"/>
        <v>0.1</v>
      </c>
      <c r="I342" s="15">
        <f t="shared" si="16"/>
        <v>0</v>
      </c>
      <c r="J342" s="16">
        <f t="shared" si="17"/>
        <v>0</v>
      </c>
      <c r="K342" s="6"/>
      <c r="L342" s="6"/>
      <c r="M342" s="65">
        <v>42045</v>
      </c>
      <c r="N342">
        <v>1538414</v>
      </c>
      <c r="O342">
        <v>2628602</v>
      </c>
    </row>
    <row r="343" spans="1:15">
      <c r="A343" s="10" t="s">
        <v>362</v>
      </c>
      <c r="B343" s="11" t="s">
        <v>547</v>
      </c>
      <c r="C343" s="12" t="s">
        <v>898</v>
      </c>
      <c r="D343" s="11" t="s">
        <v>71</v>
      </c>
      <c r="E343" s="14">
        <v>0</v>
      </c>
      <c r="F343" s="14">
        <v>0</v>
      </c>
      <c r="G343" s="14">
        <v>0</v>
      </c>
      <c r="H343" s="17">
        <f t="shared" si="15"/>
        <v>4.7132500000000001E-2</v>
      </c>
      <c r="I343" s="15">
        <f t="shared" si="16"/>
        <v>4.7132500000000001E-2</v>
      </c>
      <c r="J343" s="16">
        <f t="shared" si="17"/>
        <v>0</v>
      </c>
      <c r="K343" s="6"/>
      <c r="L343" s="6"/>
      <c r="M343" s="65">
        <v>42049</v>
      </c>
      <c r="N343">
        <v>150155</v>
      </c>
      <c r="O343">
        <v>2909351</v>
      </c>
    </row>
    <row r="344" spans="1:15">
      <c r="A344" s="21" t="s">
        <v>357</v>
      </c>
      <c r="B344" s="11" t="str">
        <f>VLOOKUP(A344,[1]Scrap!$A$3:$E$4580,3,FALSE)</f>
        <v>8X16019CAF1</v>
      </c>
      <c r="C344" s="12" t="s">
        <v>899</v>
      </c>
      <c r="D344" s="11" t="s">
        <v>401</v>
      </c>
      <c r="E344" s="14">
        <v>0.16034999999999999</v>
      </c>
      <c r="F344" s="14">
        <v>0.16034999999999999</v>
      </c>
      <c r="G344" s="14">
        <v>0.16034999999999999</v>
      </c>
      <c r="H344" s="17">
        <f t="shared" si="15"/>
        <v>0.17106136363636365</v>
      </c>
      <c r="I344" s="15">
        <f t="shared" si="16"/>
        <v>1.0711363636363658E-2</v>
      </c>
      <c r="J344" s="16">
        <f t="shared" si="17"/>
        <v>6.6799897950506129E-2</v>
      </c>
      <c r="K344" s="57"/>
      <c r="L344" s="57"/>
      <c r="M344" s="65">
        <v>42053</v>
      </c>
      <c r="N344">
        <v>8265084</v>
      </c>
      <c r="O344">
        <v>12279401</v>
      </c>
    </row>
    <row r="345" spans="1:15">
      <c r="A345" s="21" t="s">
        <v>364</v>
      </c>
      <c r="B345" s="11" t="str">
        <f>VLOOKUP(A345,[1]Scrap!$A$3:$E$4580,3,FALSE)</f>
        <v>8X22002JAF1</v>
      </c>
      <c r="C345" s="12" t="s">
        <v>900</v>
      </c>
      <c r="D345" s="11" t="s">
        <v>401</v>
      </c>
      <c r="E345" s="14">
        <v>0.17463958333333332</v>
      </c>
      <c r="F345" s="14">
        <v>0.17463958333333332</v>
      </c>
      <c r="G345" s="14">
        <v>0.17463958333333332</v>
      </c>
      <c r="H345" s="17">
        <f t="shared" si="15"/>
        <v>0.17463958333333332</v>
      </c>
      <c r="I345" s="15">
        <f t="shared" si="16"/>
        <v>0</v>
      </c>
      <c r="J345" s="16">
        <f t="shared" si="17"/>
        <v>0</v>
      </c>
      <c r="K345" s="6"/>
      <c r="L345" s="6"/>
      <c r="M345" s="65">
        <v>42057</v>
      </c>
      <c r="N345">
        <v>2232688</v>
      </c>
      <c r="O345">
        <v>297632</v>
      </c>
    </row>
    <row r="346" spans="1:15">
      <c r="A346" s="21" t="s">
        <v>365</v>
      </c>
      <c r="B346" s="11" t="str">
        <f>VLOOKUP(A346,[1]Scrap!$A$3:$E$4580,3,FALSE)</f>
        <v>8X22002KBF1</v>
      </c>
      <c r="C346" s="12" t="s">
        <v>901</v>
      </c>
      <c r="D346" s="11" t="s">
        <v>401</v>
      </c>
      <c r="E346" s="14">
        <v>0.17463958333333332</v>
      </c>
      <c r="F346" s="14">
        <v>0.17463958333333332</v>
      </c>
      <c r="G346" s="14">
        <v>0.17463958333333332</v>
      </c>
      <c r="H346" s="17">
        <f t="shared" si="15"/>
        <v>0.17463958333333332</v>
      </c>
      <c r="I346" s="15">
        <f t="shared" si="16"/>
        <v>0</v>
      </c>
      <c r="J346" s="16">
        <f t="shared" si="17"/>
        <v>0</v>
      </c>
      <c r="K346" s="6"/>
      <c r="L346" s="6"/>
      <c r="M346" s="65">
        <v>42061</v>
      </c>
      <c r="N346">
        <v>5922956</v>
      </c>
      <c r="O346">
        <v>8466932</v>
      </c>
    </row>
    <row r="347" spans="1:15">
      <c r="A347" s="21" t="s">
        <v>366</v>
      </c>
      <c r="B347" s="11" t="str">
        <f>VLOOKUP(A347,[1]Scrap!$A$3:$E$4580,3,FALSE)</f>
        <v>8X23206HAF1</v>
      </c>
      <c r="C347" s="12" t="s">
        <v>902</v>
      </c>
      <c r="D347" s="11" t="s">
        <v>401</v>
      </c>
      <c r="E347" s="14">
        <v>0.28999999999999998</v>
      </c>
      <c r="F347" s="14">
        <v>0.28999999999999998</v>
      </c>
      <c r="G347" s="14">
        <v>0.28999999999999998</v>
      </c>
      <c r="H347" s="17">
        <f t="shared" si="15"/>
        <v>0.28999999999999998</v>
      </c>
      <c r="I347" s="15">
        <f t="shared" si="16"/>
        <v>0</v>
      </c>
      <c r="J347" s="16">
        <f t="shared" si="17"/>
        <v>0</v>
      </c>
      <c r="K347" s="9"/>
      <c r="L347" s="9"/>
      <c r="M347" s="65">
        <v>42065</v>
      </c>
      <c r="N347">
        <v>1751223</v>
      </c>
      <c r="O347">
        <v>5376355</v>
      </c>
    </row>
    <row r="348" spans="1:15">
      <c r="A348" s="21" t="s">
        <v>367</v>
      </c>
      <c r="B348" s="11" t="str">
        <f>VLOOKUP(A348,[1]Scrap!$A$3:$E$4580,3,FALSE)</f>
        <v>8X23206IAF1</v>
      </c>
      <c r="C348" s="12" t="s">
        <v>903</v>
      </c>
      <c r="D348" s="11" t="s">
        <v>401</v>
      </c>
      <c r="E348" s="14">
        <v>0.47328135499999996</v>
      </c>
      <c r="F348" s="14">
        <v>0.47328135499999996</v>
      </c>
      <c r="G348" s="14">
        <v>0.47328135499999996</v>
      </c>
      <c r="H348" s="17">
        <f t="shared" si="15"/>
        <v>0.47328135499999996</v>
      </c>
      <c r="I348" s="15">
        <f t="shared" si="16"/>
        <v>0</v>
      </c>
      <c r="J348" s="16">
        <f t="shared" si="17"/>
        <v>0</v>
      </c>
      <c r="K348" s="9"/>
      <c r="L348" s="9"/>
      <c r="M348" s="65">
        <v>42069</v>
      </c>
      <c r="N348">
        <v>7572120</v>
      </c>
      <c r="O348">
        <v>724210</v>
      </c>
    </row>
    <row r="349" spans="1:15">
      <c r="A349" s="21" t="s">
        <v>339</v>
      </c>
      <c r="B349" s="11" t="str">
        <f>VLOOKUP(A349,[1]Scrap!$A$3:$E$4580,3,FALSE)</f>
        <v>8X16001EAF1</v>
      </c>
      <c r="C349" s="12" t="s">
        <v>904</v>
      </c>
      <c r="D349" s="11" t="s">
        <v>401</v>
      </c>
      <c r="E349" s="37">
        <v>0.222</v>
      </c>
      <c r="F349" s="37">
        <v>0.222</v>
      </c>
      <c r="G349" s="37">
        <v>0.222</v>
      </c>
      <c r="H349" s="17">
        <f t="shared" si="15"/>
        <v>0.23705000000000001</v>
      </c>
      <c r="I349" s="15">
        <f t="shared" si="16"/>
        <v>1.5050000000000008E-2</v>
      </c>
      <c r="J349" s="16">
        <f t="shared" si="17"/>
        <v>6.7792792792792822E-2</v>
      </c>
      <c r="K349" s="6"/>
      <c r="L349" s="6"/>
      <c r="M349" s="65">
        <v>42073</v>
      </c>
      <c r="N349">
        <v>8794105</v>
      </c>
      <c r="O349">
        <v>1275320</v>
      </c>
    </row>
    <row r="350" spans="1:15">
      <c r="A350" s="10" t="s">
        <v>369</v>
      </c>
      <c r="B350" s="11" t="s">
        <v>548</v>
      </c>
      <c r="C350" s="12" t="s">
        <v>905</v>
      </c>
      <c r="D350" s="11" t="s">
        <v>71</v>
      </c>
      <c r="E350" s="14">
        <v>0</v>
      </c>
      <c r="F350" s="14">
        <v>0</v>
      </c>
      <c r="G350" s="14">
        <v>0.15</v>
      </c>
      <c r="H350" s="17">
        <f t="shared" si="15"/>
        <v>0.15</v>
      </c>
      <c r="I350" s="15">
        <f t="shared" si="16"/>
        <v>0</v>
      </c>
      <c r="J350" s="16">
        <f t="shared" si="17"/>
        <v>0</v>
      </c>
      <c r="K350" s="9"/>
      <c r="L350" s="9"/>
      <c r="M350" s="65">
        <v>42077</v>
      </c>
      <c r="N350">
        <v>9101449</v>
      </c>
      <c r="O350">
        <v>7242388</v>
      </c>
    </row>
    <row r="351" spans="1:15">
      <c r="A351" s="21" t="s">
        <v>370</v>
      </c>
      <c r="B351" s="11" t="str">
        <f>VLOOKUP(A351,[1]Scrap!$A$3:$E$4580,3,FALSE)</f>
        <v>8X23208EAF1</v>
      </c>
      <c r="C351" s="12" t="s">
        <v>906</v>
      </c>
      <c r="D351" s="11" t="s">
        <v>71</v>
      </c>
      <c r="E351" s="14">
        <v>0</v>
      </c>
      <c r="F351" s="14">
        <v>0</v>
      </c>
      <c r="G351" s="14">
        <v>0.31</v>
      </c>
      <c r="H351" s="17">
        <f t="shared" si="15"/>
        <v>0.31</v>
      </c>
      <c r="I351" s="15">
        <f t="shared" si="16"/>
        <v>0</v>
      </c>
      <c r="J351" s="16">
        <f t="shared" si="17"/>
        <v>0</v>
      </c>
      <c r="K351" s="9"/>
      <c r="L351" s="9"/>
      <c r="M351" s="65">
        <v>42081</v>
      </c>
      <c r="N351">
        <v>6780854</v>
      </c>
      <c r="O351">
        <v>2296526</v>
      </c>
    </row>
    <row r="352" spans="1:15">
      <c r="A352" s="21" t="s">
        <v>215</v>
      </c>
      <c r="B352" s="11" t="str">
        <f>VLOOKUP(A352,[1]Scrap!$A$3:$E$4580,3,FALSE)</f>
        <v>81090501BF1</v>
      </c>
      <c r="C352" s="12" t="s">
        <v>907</v>
      </c>
      <c r="D352" s="11" t="s">
        <v>401</v>
      </c>
      <c r="E352" s="20">
        <v>0.17065714285714284</v>
      </c>
      <c r="F352" s="20">
        <v>0.17065714285714284</v>
      </c>
      <c r="G352" s="20">
        <v>0.17065714285714284</v>
      </c>
      <c r="H352" s="17">
        <f t="shared" si="15"/>
        <v>0.17065714285714284</v>
      </c>
      <c r="I352" s="15">
        <f t="shared" si="16"/>
        <v>0</v>
      </c>
      <c r="J352" s="16">
        <f t="shared" si="17"/>
        <v>0</v>
      </c>
      <c r="K352" s="6"/>
      <c r="L352" s="6"/>
      <c r="M352" s="65">
        <v>42085</v>
      </c>
      <c r="N352">
        <v>9386474</v>
      </c>
      <c r="O352">
        <v>5632618</v>
      </c>
    </row>
    <row r="353" spans="1:15">
      <c r="A353" s="21" t="s">
        <v>372</v>
      </c>
      <c r="B353" s="11" t="str">
        <f>VLOOKUP(A353,[1]Scrap!$A$3:$E$4580,3,FALSE)</f>
        <v>8X23209LAF1</v>
      </c>
      <c r="C353" s="12" t="s">
        <v>908</v>
      </c>
      <c r="D353" s="11" t="s">
        <v>401</v>
      </c>
      <c r="E353" s="14">
        <v>0.14378000000000002</v>
      </c>
      <c r="F353" s="14">
        <v>0.14378000000000002</v>
      </c>
      <c r="G353" s="14">
        <v>0.14378000000000002</v>
      </c>
      <c r="H353" s="17">
        <f t="shared" si="15"/>
        <v>0.14378000000000002</v>
      </c>
      <c r="I353" s="15">
        <f t="shared" si="16"/>
        <v>0</v>
      </c>
      <c r="J353" s="16">
        <f t="shared" si="17"/>
        <v>0</v>
      </c>
      <c r="K353" s="9"/>
      <c r="L353" s="9"/>
      <c r="M353" s="65">
        <v>42089</v>
      </c>
      <c r="N353">
        <v>184474</v>
      </c>
      <c r="O353">
        <v>7110913</v>
      </c>
    </row>
    <row r="354" spans="1:15">
      <c r="A354" s="21" t="s">
        <v>373</v>
      </c>
      <c r="B354" s="11" t="str">
        <f>VLOOKUP(A354,[1]Scrap!$A$3:$E$4580,3,FALSE)</f>
        <v>8X23209NAF1</v>
      </c>
      <c r="C354" s="12" t="s">
        <v>909</v>
      </c>
      <c r="D354" s="11" t="s">
        <v>401</v>
      </c>
      <c r="E354" s="14">
        <v>0.46389383499999998</v>
      </c>
      <c r="F354" s="14">
        <v>0.46389383499999998</v>
      </c>
      <c r="G354" s="14">
        <v>0.46389383499999998</v>
      </c>
      <c r="H354" s="17">
        <f t="shared" si="15"/>
        <v>0.46389383499999998</v>
      </c>
      <c r="I354" s="15">
        <f t="shared" si="16"/>
        <v>0</v>
      </c>
      <c r="J354" s="16">
        <f t="shared" si="17"/>
        <v>0</v>
      </c>
      <c r="K354" s="9"/>
      <c r="L354" s="9"/>
      <c r="M354" s="65">
        <v>42093</v>
      </c>
      <c r="N354">
        <v>12104874</v>
      </c>
      <c r="O354">
        <v>10771683</v>
      </c>
    </row>
    <row r="355" spans="1:15">
      <c r="A355" s="10" t="s">
        <v>1</v>
      </c>
      <c r="B355" s="11" t="str">
        <f>VLOOKUP(A355,[1]Scrap!$A$3:$E$4580,3,FALSE)</f>
        <v>8X13902AAF1</v>
      </c>
      <c r="C355" s="12" t="s">
        <v>867</v>
      </c>
      <c r="D355" s="11" t="s">
        <v>401</v>
      </c>
      <c r="E355" s="20">
        <v>8.3678571428571408E-2</v>
      </c>
      <c r="F355" s="20">
        <v>8.3678571428571408E-2</v>
      </c>
      <c r="G355" s="20">
        <v>8.3678571428571408E-2</v>
      </c>
      <c r="H355" s="17">
        <f t="shared" si="15"/>
        <v>9.0329166666666669E-2</v>
      </c>
      <c r="I355" s="15">
        <f t="shared" si="16"/>
        <v>6.650595238095261E-3</v>
      </c>
      <c r="J355" s="16">
        <f t="shared" si="17"/>
        <v>7.9477877365201607E-2</v>
      </c>
      <c r="K355" s="6"/>
      <c r="L355" s="6"/>
      <c r="M355" s="65">
        <v>42097</v>
      </c>
      <c r="N355">
        <v>7747555</v>
      </c>
      <c r="O355">
        <v>5708788</v>
      </c>
    </row>
    <row r="356" spans="1:15">
      <c r="A356" s="21" t="s">
        <v>375</v>
      </c>
      <c r="B356" s="11" t="str">
        <f>VLOOKUP(A356,[1]Scrap!$A$3:$E$4580,3,FALSE)</f>
        <v>8X23212DAF1</v>
      </c>
      <c r="C356" s="12" t="s">
        <v>910</v>
      </c>
      <c r="D356" s="11" t="s">
        <v>401</v>
      </c>
      <c r="E356" s="14">
        <v>0.16554671499999998</v>
      </c>
      <c r="F356" s="14">
        <v>0.16554671499999998</v>
      </c>
      <c r="G356" s="14">
        <v>0.16554671499999998</v>
      </c>
      <c r="H356" s="17">
        <f t="shared" si="15"/>
        <v>0.16554671499999998</v>
      </c>
      <c r="I356" s="15">
        <f t="shared" si="16"/>
        <v>0</v>
      </c>
      <c r="J356" s="16">
        <f t="shared" si="17"/>
        <v>0</v>
      </c>
      <c r="K356" s="6"/>
      <c r="L356" s="6"/>
      <c r="M356" s="65">
        <v>42101</v>
      </c>
      <c r="N356">
        <v>1387084</v>
      </c>
      <c r="O356">
        <v>7607654</v>
      </c>
    </row>
    <row r="357" spans="1:15">
      <c r="A357" s="29" t="s">
        <v>376</v>
      </c>
      <c r="B357" s="30" t="s">
        <v>550</v>
      </c>
      <c r="C357" s="31" t="s">
        <v>911</v>
      </c>
      <c r="D357" s="30" t="s">
        <v>71</v>
      </c>
      <c r="E357" s="36">
        <v>0.16554671499999998</v>
      </c>
      <c r="F357" s="36">
        <v>0.16554671499999998</v>
      </c>
      <c r="G357" s="36">
        <v>0</v>
      </c>
      <c r="H357" s="17">
        <f t="shared" si="15"/>
        <v>0.12760000000000002</v>
      </c>
      <c r="I357" s="15">
        <f t="shared" si="16"/>
        <v>0.12760000000000002</v>
      </c>
      <c r="J357" s="16">
        <f t="shared" si="17"/>
        <v>0</v>
      </c>
      <c r="K357" s="35"/>
      <c r="L357" s="35"/>
      <c r="M357" s="65">
        <v>42105</v>
      </c>
      <c r="N357">
        <v>6816322</v>
      </c>
      <c r="O357">
        <v>9203267</v>
      </c>
    </row>
    <row r="358" spans="1:15">
      <c r="A358" s="10" t="s">
        <v>334</v>
      </c>
      <c r="B358" s="11" t="str">
        <f>VLOOKUP(A358,[1]Scrap!$A$3:$E$4580,3,FALSE)</f>
        <v>8X13902BAF1</v>
      </c>
      <c r="C358" s="12" t="s">
        <v>912</v>
      </c>
      <c r="D358" s="11" t="s">
        <v>401</v>
      </c>
      <c r="E358" s="20">
        <v>8.1521212121212133E-2</v>
      </c>
      <c r="F358" s="20">
        <v>8.1521212121212133E-2</v>
      </c>
      <c r="G358" s="20">
        <v>8.1521212121212133E-2</v>
      </c>
      <c r="H358" s="17">
        <f t="shared" si="15"/>
        <v>8.8724999999999998E-2</v>
      </c>
      <c r="I358" s="15">
        <f t="shared" si="16"/>
        <v>7.2037878787878651E-3</v>
      </c>
      <c r="J358" s="16">
        <f t="shared" si="17"/>
        <v>8.8367035908110736E-2</v>
      </c>
      <c r="K358" s="6"/>
      <c r="L358" s="6"/>
      <c r="M358" s="65">
        <v>42109</v>
      </c>
      <c r="N358">
        <v>4413490</v>
      </c>
      <c r="O358">
        <v>9240102</v>
      </c>
    </row>
    <row r="359" spans="1:15">
      <c r="A359" s="10" t="s">
        <v>53</v>
      </c>
      <c r="B359" s="11" t="s">
        <v>418</v>
      </c>
      <c r="C359" s="12" t="s">
        <v>913</v>
      </c>
      <c r="D359" s="11" t="s">
        <v>401</v>
      </c>
      <c r="E359" s="20">
        <v>0.29459999999999997</v>
      </c>
      <c r="F359" s="20">
        <v>0.29459999999999997</v>
      </c>
      <c r="G359" s="20">
        <v>0.29459999999999997</v>
      </c>
      <c r="H359" s="17">
        <f t="shared" si="15"/>
        <v>0.32269078947368418</v>
      </c>
      <c r="I359" s="15">
        <f t="shared" si="16"/>
        <v>2.8090789473684208E-2</v>
      </c>
      <c r="J359" s="16">
        <f t="shared" si="17"/>
        <v>9.5352306427984423E-2</v>
      </c>
      <c r="K359" s="18" t="s">
        <v>273</v>
      </c>
      <c r="L359" s="19">
        <v>0.13143749999999998</v>
      </c>
      <c r="M359" s="65">
        <v>42113</v>
      </c>
      <c r="N359">
        <v>5783562</v>
      </c>
      <c r="O359">
        <v>1576675</v>
      </c>
    </row>
    <row r="360" spans="1:15">
      <c r="A360" s="21" t="s">
        <v>379</v>
      </c>
      <c r="B360" s="11" t="str">
        <f>VLOOKUP(A360,[1]Scrap!$A$3:$E$4580,3,FALSE)</f>
        <v>8X31002AAF1</v>
      </c>
      <c r="C360" s="12" t="s">
        <v>914</v>
      </c>
      <c r="D360" s="11" t="s">
        <v>401</v>
      </c>
      <c r="E360" s="14">
        <v>0.35430553999999997</v>
      </c>
      <c r="F360" s="14">
        <v>0.35430553999999997</v>
      </c>
      <c r="G360" s="14">
        <v>0.35430553999999997</v>
      </c>
      <c r="H360" s="17">
        <f t="shared" si="15"/>
        <v>0.35430553999999997</v>
      </c>
      <c r="I360" s="15">
        <f t="shared" si="16"/>
        <v>0</v>
      </c>
      <c r="J360" s="16">
        <f t="shared" si="17"/>
        <v>0</v>
      </c>
      <c r="K360" s="6"/>
      <c r="L360" s="6"/>
      <c r="M360" s="65">
        <v>42117</v>
      </c>
      <c r="N360">
        <v>9235714</v>
      </c>
      <c r="O360">
        <v>10141204</v>
      </c>
    </row>
    <row r="361" spans="1:15">
      <c r="A361" s="21" t="s">
        <v>380</v>
      </c>
      <c r="B361" s="11" t="str">
        <f>VLOOKUP(A361,[1]Scrap!$A$3:$E$4580,3,FALSE)</f>
        <v>8X33202AAF1</v>
      </c>
      <c r="C361" s="12" t="s">
        <v>915</v>
      </c>
      <c r="D361" s="11" t="s">
        <v>71</v>
      </c>
      <c r="E361" s="14">
        <v>0</v>
      </c>
      <c r="F361" s="14">
        <v>0</v>
      </c>
      <c r="G361" s="14">
        <v>1.208</v>
      </c>
      <c r="H361" s="17">
        <f t="shared" si="15"/>
        <v>1.208</v>
      </c>
      <c r="I361" s="15">
        <f t="shared" si="16"/>
        <v>0</v>
      </c>
      <c r="J361" s="16">
        <f t="shared" si="17"/>
        <v>0</v>
      </c>
      <c r="K361" s="6"/>
      <c r="L361" s="6"/>
      <c r="M361" s="65">
        <v>42121</v>
      </c>
      <c r="N361">
        <v>8705803</v>
      </c>
      <c r="O361">
        <v>8934379</v>
      </c>
    </row>
    <row r="362" spans="1:15">
      <c r="A362" s="21" t="s">
        <v>381</v>
      </c>
      <c r="B362" s="11" t="str">
        <f>VLOOKUP(A362,[1]Scrap!$A$3:$E$4580,3,FALSE)</f>
        <v>8X33202BAF1</v>
      </c>
      <c r="C362" s="12" t="s">
        <v>916</v>
      </c>
      <c r="D362" s="11" t="s">
        <v>71</v>
      </c>
      <c r="E362" s="14">
        <v>0</v>
      </c>
      <c r="F362" s="14">
        <v>0</v>
      </c>
      <c r="G362" s="14">
        <v>0.78300000000000003</v>
      </c>
      <c r="H362" s="17">
        <f t="shared" si="15"/>
        <v>0.78300000000000003</v>
      </c>
      <c r="I362" s="15">
        <f t="shared" si="16"/>
        <v>0</v>
      </c>
      <c r="J362" s="16">
        <f t="shared" si="17"/>
        <v>0</v>
      </c>
      <c r="K362" s="6"/>
      <c r="L362" s="6"/>
      <c r="M362" s="65">
        <v>42005</v>
      </c>
      <c r="N362">
        <v>3940216</v>
      </c>
      <c r="O362">
        <v>9102389</v>
      </c>
    </row>
    <row r="363" spans="1:15">
      <c r="A363" s="21" t="s">
        <v>382</v>
      </c>
      <c r="B363" s="11" t="str">
        <f>VLOOKUP(A363,[1]Scrap!$A$3:$E$4580,3,FALSE)</f>
        <v>8X33204CAF1</v>
      </c>
      <c r="C363" s="12" t="s">
        <v>917</v>
      </c>
      <c r="D363" s="11" t="s">
        <v>71</v>
      </c>
      <c r="E363" s="14">
        <v>0</v>
      </c>
      <c r="F363" s="14">
        <v>0</v>
      </c>
      <c r="G363" s="14">
        <v>0.78300000000000003</v>
      </c>
      <c r="H363" s="17">
        <f t="shared" si="15"/>
        <v>0.78300000000000003</v>
      </c>
      <c r="I363" s="15">
        <f t="shared" si="16"/>
        <v>0</v>
      </c>
      <c r="J363" s="16">
        <f t="shared" si="17"/>
        <v>0</v>
      </c>
      <c r="K363" s="6"/>
      <c r="L363" s="6"/>
      <c r="M363" s="65">
        <v>42009</v>
      </c>
      <c r="N363">
        <v>7517783</v>
      </c>
      <c r="O363">
        <v>12149577</v>
      </c>
    </row>
    <row r="364" spans="1:15">
      <c r="A364" s="21" t="s">
        <v>383</v>
      </c>
      <c r="B364" s="11" t="str">
        <f>VLOOKUP(A364,[1]Scrap!$A$3:$E$4580,3,FALSE)</f>
        <v>8X33205AAF1</v>
      </c>
      <c r="C364" s="12" t="s">
        <v>918</v>
      </c>
      <c r="D364" s="11" t="s">
        <v>71</v>
      </c>
      <c r="E364" s="14">
        <v>0</v>
      </c>
      <c r="F364" s="14">
        <v>0</v>
      </c>
      <c r="G364" s="14">
        <v>0.41299999999999998</v>
      </c>
      <c r="H364" s="17">
        <f t="shared" si="15"/>
        <v>0.41299999999999998</v>
      </c>
      <c r="I364" s="15">
        <f t="shared" si="16"/>
        <v>0</v>
      </c>
      <c r="J364" s="16">
        <f t="shared" si="17"/>
        <v>0</v>
      </c>
      <c r="K364" s="6"/>
      <c r="L364" s="6"/>
      <c r="M364" s="65">
        <v>42013</v>
      </c>
      <c r="N364">
        <v>1451820</v>
      </c>
      <c r="O364">
        <v>10040533</v>
      </c>
    </row>
    <row r="365" spans="1:15">
      <c r="A365" s="21" t="s">
        <v>384</v>
      </c>
      <c r="B365" s="11" t="str">
        <f>VLOOKUP(A365,[1]Scrap!$A$3:$E$4580,3,FALSE)</f>
        <v>8X33207AAF1</v>
      </c>
      <c r="C365" s="12" t="s">
        <v>919</v>
      </c>
      <c r="D365" s="11" t="s">
        <v>401</v>
      </c>
      <c r="E365" s="14">
        <v>0.44346666666666662</v>
      </c>
      <c r="F365" s="14">
        <v>0.44346666666666662</v>
      </c>
      <c r="G365" s="14">
        <v>0.44346666666666662</v>
      </c>
      <c r="H365" s="17">
        <f t="shared" si="15"/>
        <v>0.44346666666666662</v>
      </c>
      <c r="I365" s="15">
        <f t="shared" si="16"/>
        <v>0</v>
      </c>
      <c r="J365" s="16">
        <f t="shared" si="17"/>
        <v>0</v>
      </c>
      <c r="K365" s="9"/>
      <c r="L365" s="9"/>
      <c r="M365" s="65">
        <v>42017</v>
      </c>
      <c r="N365">
        <v>7402403</v>
      </c>
      <c r="O365">
        <v>8131100</v>
      </c>
    </row>
    <row r="366" spans="1:15">
      <c r="A366" s="21" t="s">
        <v>385</v>
      </c>
      <c r="B366" s="11" t="str">
        <f>VLOOKUP(A366,[1]Scrap!$A$3:$E$4580,3,FALSE)</f>
        <v>8X33207BAF1</v>
      </c>
      <c r="C366" s="12" t="s">
        <v>920</v>
      </c>
      <c r="D366" s="11" t="s">
        <v>401</v>
      </c>
      <c r="E366" s="14">
        <v>0.45600000000000002</v>
      </c>
      <c r="F366" s="14">
        <v>0.45600000000000002</v>
      </c>
      <c r="G366" s="14">
        <v>0.45600000000000002</v>
      </c>
      <c r="H366" s="17">
        <f t="shared" si="15"/>
        <v>0.45600000000000002</v>
      </c>
      <c r="I366" s="15">
        <f t="shared" si="16"/>
        <v>0</v>
      </c>
      <c r="J366" s="16">
        <f t="shared" si="17"/>
        <v>0</v>
      </c>
      <c r="K366" s="9"/>
      <c r="L366" s="9"/>
      <c r="M366" s="65">
        <v>42021</v>
      </c>
      <c r="N366">
        <v>426506</v>
      </c>
      <c r="O366">
        <v>9638196</v>
      </c>
    </row>
    <row r="367" spans="1:15">
      <c r="A367" s="10" t="s">
        <v>386</v>
      </c>
      <c r="B367" s="11" t="s">
        <v>552</v>
      </c>
      <c r="C367" s="12" t="s">
        <v>921</v>
      </c>
      <c r="D367" s="11" t="s">
        <v>401</v>
      </c>
      <c r="E367" s="14">
        <v>0.28299999999999997</v>
      </c>
      <c r="F367" s="14">
        <v>0.28299999999999997</v>
      </c>
      <c r="G367" s="14">
        <v>0.28299999999999997</v>
      </c>
      <c r="H367" s="17">
        <f t="shared" si="15"/>
        <v>0.28299999999999997</v>
      </c>
      <c r="I367" s="15">
        <f t="shared" si="16"/>
        <v>0</v>
      </c>
      <c r="J367" s="16">
        <f t="shared" si="17"/>
        <v>0</v>
      </c>
      <c r="K367" s="9"/>
      <c r="L367" s="9"/>
      <c r="M367" s="65">
        <v>42025</v>
      </c>
      <c r="N367">
        <v>2497539</v>
      </c>
      <c r="O367">
        <v>3249782</v>
      </c>
    </row>
    <row r="368" spans="1:15">
      <c r="A368" s="21" t="s">
        <v>387</v>
      </c>
      <c r="B368" s="11" t="str">
        <f>VLOOKUP(A368,[1]Scrap!$A$3:$E$4580,3,FALSE)</f>
        <v>8X33210AAF1</v>
      </c>
      <c r="C368" s="12" t="s">
        <v>922</v>
      </c>
      <c r="D368" s="11" t="s">
        <v>401</v>
      </c>
      <c r="E368" s="14">
        <v>0.78531249999999997</v>
      </c>
      <c r="F368" s="14">
        <v>0.78531249999999997</v>
      </c>
      <c r="G368" s="14">
        <v>0.78531249999999997</v>
      </c>
      <c r="H368" s="17">
        <f t="shared" si="15"/>
        <v>0.78531249999999997</v>
      </c>
      <c r="I368" s="15">
        <f t="shared" si="16"/>
        <v>0</v>
      </c>
      <c r="J368" s="16">
        <f t="shared" si="17"/>
        <v>0</v>
      </c>
      <c r="K368" s="9"/>
      <c r="L368" s="9"/>
      <c r="M368" s="65">
        <v>42029</v>
      </c>
      <c r="N368">
        <v>8191171</v>
      </c>
      <c r="O368">
        <v>8296960</v>
      </c>
    </row>
    <row r="369" spans="1:15">
      <c r="A369" s="21" t="s">
        <v>109</v>
      </c>
      <c r="B369" s="11" t="str">
        <f>VLOOKUP(A369,[1]Scrap!$A$3:$E$4580,3,FALSE)</f>
        <v>80497009AF1</v>
      </c>
      <c r="C369" s="12" t="s">
        <v>923</v>
      </c>
      <c r="D369" s="11" t="s">
        <v>401</v>
      </c>
      <c r="E369" s="37">
        <v>0.53200000000000003</v>
      </c>
      <c r="F369" s="37">
        <v>0.53200000000000003</v>
      </c>
      <c r="G369" s="37">
        <v>0.53200000000000003</v>
      </c>
      <c r="H369" s="17">
        <f t="shared" si="15"/>
        <v>0.61534374999999997</v>
      </c>
      <c r="I369" s="15">
        <f t="shared" si="16"/>
        <v>8.3343749999999939E-2</v>
      </c>
      <c r="J369" s="16">
        <f t="shared" si="17"/>
        <v>0.15666118421052619</v>
      </c>
      <c r="K369" s="18" t="s">
        <v>86</v>
      </c>
      <c r="L369" s="19">
        <v>0.13734166666666667</v>
      </c>
      <c r="M369" s="65">
        <v>42033</v>
      </c>
      <c r="N369">
        <v>12287274</v>
      </c>
      <c r="O369">
        <v>7975260</v>
      </c>
    </row>
    <row r="370" spans="1:15">
      <c r="A370" s="21" t="s">
        <v>389</v>
      </c>
      <c r="B370" s="11" t="str">
        <f>VLOOKUP(A370,[1]Scrap!$A$3:$E$4580,3,FALSE)</f>
        <v>8X33212AAF1</v>
      </c>
      <c r="C370" s="12" t="s">
        <v>924</v>
      </c>
      <c r="D370" s="11" t="s">
        <v>401</v>
      </c>
      <c r="E370" s="14">
        <v>0.7430497104999999</v>
      </c>
      <c r="F370" s="14">
        <v>0.7430497104999999</v>
      </c>
      <c r="G370" s="14">
        <v>0.7430497104999999</v>
      </c>
      <c r="H370" s="17">
        <f t="shared" si="15"/>
        <v>0.7430497104999999</v>
      </c>
      <c r="I370" s="15">
        <f t="shared" si="16"/>
        <v>0</v>
      </c>
      <c r="J370" s="16">
        <f t="shared" si="17"/>
        <v>0</v>
      </c>
      <c r="K370" s="9"/>
      <c r="L370" s="9"/>
      <c r="M370" s="65">
        <v>42037</v>
      </c>
      <c r="N370">
        <v>4851485</v>
      </c>
      <c r="O370">
        <v>9659702</v>
      </c>
    </row>
    <row r="371" spans="1:15">
      <c r="A371" s="21" t="s">
        <v>390</v>
      </c>
      <c r="B371" s="11" t="str">
        <f>VLOOKUP(A371,[1]Scrap!$A$3:$E$4580,3,FALSE)</f>
        <v>8X33214AAF1</v>
      </c>
      <c r="C371" s="12" t="s">
        <v>925</v>
      </c>
      <c r="D371" s="11" t="s">
        <v>401</v>
      </c>
      <c r="E371" s="14">
        <v>0.45655000000000001</v>
      </c>
      <c r="F371" s="14">
        <v>0.45655000000000001</v>
      </c>
      <c r="G371" s="14">
        <v>0.45655000000000001</v>
      </c>
      <c r="H371" s="17">
        <f t="shared" si="15"/>
        <v>0.45655000000000001</v>
      </c>
      <c r="I371" s="15">
        <f t="shared" si="16"/>
        <v>0</v>
      </c>
      <c r="J371" s="16">
        <f t="shared" si="17"/>
        <v>0</v>
      </c>
      <c r="K371" s="9"/>
      <c r="L371" s="9"/>
      <c r="M371" s="65">
        <v>42041</v>
      </c>
      <c r="N371">
        <v>10816662</v>
      </c>
      <c r="O371">
        <v>9587754</v>
      </c>
    </row>
    <row r="372" spans="1:15">
      <c r="A372" s="21" t="s">
        <v>391</v>
      </c>
      <c r="B372" s="11" t="str">
        <f>VLOOKUP(A372,[1]Scrap!$A$3:$E$4580,3,FALSE)</f>
        <v>8X33215AAF1</v>
      </c>
      <c r="C372" s="12" t="s">
        <v>926</v>
      </c>
      <c r="D372" s="11" t="s">
        <v>401</v>
      </c>
      <c r="E372" s="14">
        <v>0.56830000000000003</v>
      </c>
      <c r="F372" s="14">
        <v>0.56830000000000003</v>
      </c>
      <c r="G372" s="14">
        <v>0.56830000000000003</v>
      </c>
      <c r="H372" s="17">
        <f t="shared" si="15"/>
        <v>0.56830000000000003</v>
      </c>
      <c r="I372" s="15">
        <f t="shared" si="16"/>
        <v>0</v>
      </c>
      <c r="J372" s="16">
        <f t="shared" si="17"/>
        <v>0</v>
      </c>
      <c r="K372" s="9"/>
      <c r="L372" s="9"/>
      <c r="M372" s="65">
        <v>42045</v>
      </c>
      <c r="N372">
        <v>10978231</v>
      </c>
      <c r="O372">
        <v>10640247</v>
      </c>
    </row>
    <row r="373" spans="1:15">
      <c r="A373" s="10" t="s">
        <v>308</v>
      </c>
      <c r="B373" s="11" t="s">
        <v>529</v>
      </c>
      <c r="C373" s="12" t="s">
        <v>927</v>
      </c>
      <c r="D373" s="11" t="s">
        <v>401</v>
      </c>
      <c r="E373" s="14">
        <v>2.5499999999999998E-2</v>
      </c>
      <c r="F373" s="14">
        <v>0.02</v>
      </c>
      <c r="G373" s="14">
        <v>0.02</v>
      </c>
      <c r="H373" s="17">
        <f t="shared" si="15"/>
        <v>2.389514375E-2</v>
      </c>
      <c r="I373" s="15">
        <f t="shared" si="16"/>
        <v>3.8951437499999998E-3</v>
      </c>
      <c r="J373" s="16">
        <f t="shared" si="17"/>
        <v>0.19475718749999998</v>
      </c>
      <c r="K373" s="9"/>
      <c r="L373" s="9"/>
      <c r="M373" s="65">
        <v>42049</v>
      </c>
      <c r="N373">
        <v>1596745</v>
      </c>
      <c r="O373">
        <v>3775429</v>
      </c>
    </row>
    <row r="374" spans="1:15">
      <c r="A374" s="10" t="s">
        <v>393</v>
      </c>
      <c r="B374" s="11" t="s">
        <v>553</v>
      </c>
      <c r="C374" s="12" t="s">
        <v>928</v>
      </c>
      <c r="D374" s="11" t="s">
        <v>401</v>
      </c>
      <c r="E374" s="20">
        <v>0.57331999999999994</v>
      </c>
      <c r="F374" s="20">
        <v>0</v>
      </c>
      <c r="G374" s="20">
        <v>0.60199999999999998</v>
      </c>
      <c r="H374" s="17">
        <f t="shared" si="15"/>
        <v>0.60199999999999998</v>
      </c>
      <c r="I374" s="15">
        <f t="shared" si="16"/>
        <v>0</v>
      </c>
      <c r="J374" s="16">
        <f t="shared" si="17"/>
        <v>0</v>
      </c>
      <c r="K374" s="9"/>
      <c r="L374" s="9"/>
      <c r="M374" s="65">
        <v>42053</v>
      </c>
      <c r="N374">
        <v>11056779</v>
      </c>
      <c r="O374">
        <v>8856516</v>
      </c>
    </row>
    <row r="375" spans="1:15">
      <c r="A375" s="10" t="s">
        <v>394</v>
      </c>
      <c r="B375" s="11" t="s">
        <v>554</v>
      </c>
      <c r="C375" s="12" t="s">
        <v>929</v>
      </c>
      <c r="D375" s="11" t="s">
        <v>71</v>
      </c>
      <c r="E375" s="20">
        <v>0.57331999999999994</v>
      </c>
      <c r="F375" s="20">
        <v>0</v>
      </c>
      <c r="G375" s="20">
        <v>0</v>
      </c>
      <c r="H375" s="17">
        <f t="shared" si="15"/>
        <v>0.62924999999999998</v>
      </c>
      <c r="I375" s="15">
        <f t="shared" si="16"/>
        <v>0.62924999999999998</v>
      </c>
      <c r="J375" s="16">
        <f t="shared" si="17"/>
        <v>0</v>
      </c>
      <c r="K375" s="9"/>
      <c r="L375" s="9"/>
      <c r="M375" s="65">
        <v>42057</v>
      </c>
      <c r="N375">
        <v>9962004</v>
      </c>
      <c r="O375">
        <v>3039229</v>
      </c>
    </row>
    <row r="376" spans="1:15">
      <c r="A376" s="10" t="s">
        <v>395</v>
      </c>
      <c r="B376" s="11" t="s">
        <v>555</v>
      </c>
      <c r="C376" s="12" t="s">
        <v>930</v>
      </c>
      <c r="D376" s="11" t="s">
        <v>71</v>
      </c>
      <c r="E376" s="37">
        <v>0</v>
      </c>
      <c r="F376" s="37">
        <v>0</v>
      </c>
      <c r="G376" s="37">
        <v>0.60199999999999998</v>
      </c>
      <c r="H376" s="17">
        <f t="shared" si="15"/>
        <v>0.60199999999999998</v>
      </c>
      <c r="I376" s="15">
        <f t="shared" si="16"/>
        <v>0</v>
      </c>
      <c r="J376" s="16">
        <f t="shared" si="17"/>
        <v>0</v>
      </c>
      <c r="K376" s="9"/>
      <c r="L376" s="9"/>
      <c r="M376" s="65">
        <v>42061</v>
      </c>
      <c r="N376">
        <v>7860458</v>
      </c>
      <c r="O376">
        <v>2747708</v>
      </c>
    </row>
    <row r="377" spans="1:15">
      <c r="A377" s="10" t="s">
        <v>396</v>
      </c>
      <c r="B377" s="11" t="s">
        <v>556</v>
      </c>
      <c r="C377" s="12" t="s">
        <v>931</v>
      </c>
      <c r="D377" s="11" t="s">
        <v>401</v>
      </c>
      <c r="E377" s="14">
        <v>0.46657500000000002</v>
      </c>
      <c r="F377" s="14">
        <v>0.46657500000000002</v>
      </c>
      <c r="G377" s="14">
        <v>0.46657500000000002</v>
      </c>
      <c r="H377" s="17">
        <f t="shared" si="15"/>
        <v>0.46657500000000002</v>
      </c>
      <c r="I377" s="15">
        <f t="shared" si="16"/>
        <v>0</v>
      </c>
      <c r="J377" s="16">
        <f t="shared" si="17"/>
        <v>0</v>
      </c>
      <c r="K377" s="6"/>
      <c r="L377" s="6"/>
      <c r="M377" s="65">
        <v>42065</v>
      </c>
      <c r="N377">
        <v>6633608</v>
      </c>
      <c r="O377">
        <v>12132838</v>
      </c>
    </row>
    <row r="378" spans="1:15">
      <c r="A378" s="10" t="s">
        <v>103</v>
      </c>
      <c r="B378" s="11" t="s">
        <v>436</v>
      </c>
      <c r="C378" s="12" t="s">
        <v>932</v>
      </c>
      <c r="D378" s="11" t="s">
        <v>401</v>
      </c>
      <c r="E378" s="20">
        <v>4.5528571428571425E-2</v>
      </c>
      <c r="F378" s="20">
        <v>4.5528571428571425E-2</v>
      </c>
      <c r="G378" s="20">
        <v>4.5528571428571425E-2</v>
      </c>
      <c r="H378" s="17">
        <f t="shared" si="15"/>
        <v>5.7979253472222214E-2</v>
      </c>
      <c r="I378" s="15">
        <f t="shared" si="16"/>
        <v>1.2450682043650789E-2</v>
      </c>
      <c r="J378" s="16">
        <f t="shared" si="17"/>
        <v>0.27346964011783975</v>
      </c>
      <c r="K378" s="18" t="s">
        <v>388</v>
      </c>
      <c r="L378" s="19">
        <v>0.56525000000000003</v>
      </c>
      <c r="M378" s="65">
        <v>42069</v>
      </c>
      <c r="N378">
        <v>1223495</v>
      </c>
      <c r="O378">
        <v>5511165</v>
      </c>
    </row>
    <row r="379" spans="1:15">
      <c r="A379" s="10" t="s">
        <v>398</v>
      </c>
      <c r="B379" s="11" t="s">
        <v>558</v>
      </c>
      <c r="C379" s="12" t="s">
        <v>933</v>
      </c>
      <c r="D379" s="11" t="s">
        <v>71</v>
      </c>
      <c r="E379" s="14">
        <v>0</v>
      </c>
      <c r="F379" s="14">
        <v>0</v>
      </c>
      <c r="G379" s="14">
        <v>0.46300000000000002</v>
      </c>
      <c r="H379" s="17">
        <f t="shared" si="15"/>
        <v>0.46300000000000002</v>
      </c>
      <c r="I379" s="15">
        <f t="shared" si="16"/>
        <v>0</v>
      </c>
      <c r="J379" s="16">
        <f t="shared" si="17"/>
        <v>0</v>
      </c>
      <c r="K379" s="6"/>
      <c r="L379" s="6"/>
      <c r="M379" s="65">
        <v>42073</v>
      </c>
      <c r="N379">
        <v>8343674</v>
      </c>
      <c r="O379">
        <v>7027535</v>
      </c>
    </row>
    <row r="380" spans="1:15">
      <c r="A380" s="21" t="s">
        <v>271</v>
      </c>
      <c r="B380" s="11" t="str">
        <f>VLOOKUP(A380,[1]Scrap!$A$3:$E$4580,3,FALSE)</f>
        <v>8X12402DAF1</v>
      </c>
      <c r="C380" s="12" t="s">
        <v>934</v>
      </c>
      <c r="D380" s="11" t="s">
        <v>401</v>
      </c>
      <c r="E380" s="20">
        <v>0.1011</v>
      </c>
      <c r="F380" s="20">
        <v>0.1011</v>
      </c>
      <c r="G380" s="20">
        <v>0.1011</v>
      </c>
      <c r="H380" s="17">
        <f t="shared" si="15"/>
        <v>0.12987499999999999</v>
      </c>
      <c r="I380" s="15">
        <f t="shared" si="16"/>
        <v>2.8774999999999995E-2</v>
      </c>
      <c r="J380" s="16">
        <f t="shared" si="17"/>
        <v>0.2846191889218595</v>
      </c>
      <c r="K380" s="6"/>
      <c r="L380" s="6"/>
      <c r="M380" s="65">
        <v>42077</v>
      </c>
      <c r="N380">
        <v>5123201</v>
      </c>
      <c r="O380">
        <v>2517379</v>
      </c>
    </row>
    <row r="381" spans="1:15">
      <c r="A381" s="10" t="s">
        <v>400</v>
      </c>
      <c r="B381" s="11" t="s">
        <v>560</v>
      </c>
      <c r="C381" s="12" t="s">
        <v>935</v>
      </c>
      <c r="D381" s="11" t="s">
        <v>71</v>
      </c>
      <c r="E381" s="20">
        <v>0.45449999999999996</v>
      </c>
      <c r="F381" s="20">
        <v>0.45449999999999996</v>
      </c>
      <c r="G381" s="20">
        <v>0.51049999999999995</v>
      </c>
      <c r="H381" s="17">
        <f t="shared" si="15"/>
        <v>0.51049999999999995</v>
      </c>
      <c r="I381" s="15">
        <f t="shared" si="16"/>
        <v>0</v>
      </c>
      <c r="J381" s="16">
        <f t="shared" si="17"/>
        <v>0</v>
      </c>
      <c r="K381" s="6"/>
      <c r="L381" s="6"/>
      <c r="M381" s="65">
        <v>42081</v>
      </c>
      <c r="N381">
        <v>6423176</v>
      </c>
      <c r="O381">
        <v>12082020</v>
      </c>
    </row>
    <row r="382" spans="1:15">
      <c r="A382" s="10" t="s">
        <v>377</v>
      </c>
      <c r="B382" s="11" t="str">
        <f>VLOOKUP(A382,[1]Scrap!$A$3:$E$4580,3,FALSE)</f>
        <v>8X25201AAF1</v>
      </c>
      <c r="C382" s="12" t="s">
        <v>936</v>
      </c>
      <c r="D382" s="11" t="s">
        <v>401</v>
      </c>
      <c r="E382" s="14">
        <v>0.16679375000000002</v>
      </c>
      <c r="F382" s="14">
        <v>0.16679375000000002</v>
      </c>
      <c r="G382" s="14">
        <v>0.16679375000000002</v>
      </c>
      <c r="H382" s="17">
        <f t="shared" si="15"/>
        <v>0.21625</v>
      </c>
      <c r="I382" s="15">
        <f t="shared" si="16"/>
        <v>4.9456249999999979E-2</v>
      </c>
      <c r="J382" s="16">
        <f t="shared" si="17"/>
        <v>0.29651141004983683</v>
      </c>
      <c r="K382" s="6"/>
      <c r="L382" s="6"/>
      <c r="M382" s="65">
        <v>42085</v>
      </c>
      <c r="N382">
        <v>6601594</v>
      </c>
      <c r="O382">
        <v>3245555</v>
      </c>
    </row>
    <row r="383" spans="1:15">
      <c r="A383" s="10" t="s">
        <v>261</v>
      </c>
      <c r="B383" s="11" t="s">
        <v>505</v>
      </c>
      <c r="C383" s="12" t="s">
        <v>937</v>
      </c>
      <c r="D383" s="11" t="s">
        <v>401</v>
      </c>
      <c r="E383" s="20">
        <v>6.862E-2</v>
      </c>
      <c r="F383" s="20">
        <v>5.1999999999999998E-2</v>
      </c>
      <c r="G383" s="20">
        <v>5.1999999999999998E-2</v>
      </c>
      <c r="H383" s="17">
        <f t="shared" si="15"/>
        <v>6.7560576923076932E-2</v>
      </c>
      <c r="I383" s="15">
        <f t="shared" si="16"/>
        <v>1.5560576923076934E-2</v>
      </c>
      <c r="J383" s="16">
        <f t="shared" si="17"/>
        <v>0.29924186390532564</v>
      </c>
      <c r="K383" s="6"/>
      <c r="L383" s="6"/>
      <c r="M383" s="65">
        <v>42089</v>
      </c>
      <c r="N383">
        <v>5935342</v>
      </c>
      <c r="O383">
        <v>6532862</v>
      </c>
    </row>
  </sheetData>
  <conditionalFormatting sqref="E1:O1">
    <cfRule type="cellIs" dxfId="5" priority="6" stopIfTrue="1" operator="equal">
      <formula>7000</formula>
    </cfRule>
  </conditionalFormatting>
  <conditionalFormatting sqref="D2:D383">
    <cfRule type="cellIs" dxfId="4" priority="5" operator="equal">
      <formula>"O"</formula>
    </cfRule>
  </conditionalFormatting>
  <conditionalFormatting sqref="E342:F343 E328:F334 E345:F351 E376:F377 E318:F318 E299:F302 E325:F326 E379:F379 E353:F372 E148:F148 E199:F199 E231:F234 E266:F267 E151:F155 E228:F229 E237:F238 E202:F217 E161:F168 E172:F183 E30:F32 E70:F82 E112:F123 E92:F98 E36:F47 E84:F90 E12:F27 E101:F109 E125:F141 E269:F293 E189:F197 F381:F383 E311:G313 G332 G325 E336:G338 G328:G329 G365:G372 E340:G340 G299:G301 E295:G297 G345:G349 G377 E320:G323 G353:G360 E304:G305 E143:G143 G141 G153:G155 E170:G170 E185:G187 E220:G220 E222:G223 E226:G226 G229 G233:G234 E241:G241 E246:G246 E249:G249 E251:G251 E253:G254 G231 G267 G181:G183 G215 G161:G162 G151 G202:G208 E257:G260 G269:G270 E243:G244 G283:G293 E308:G309 G164:G168 G273:G281 G132 G135:G136 G26 E34:G34 G30:G31 E51:G51 E59:G61 E63:G63 G78:G82 G98 G123 E4:G4 E6:G8 E10:G10 G12 G20:G21 G36 G70:G76 G84 G94:G95 G101 G112:G118 G120 G126 G128 G38:G45 G87:G90 G103:G109 E65:G68 G189:G196">
    <cfRule type="cellIs" dxfId="3" priority="4" operator="greaterThan">
      <formula>0</formula>
    </cfRule>
  </conditionalFormatting>
  <conditionalFormatting sqref="H2:H383">
    <cfRule type="expression" dxfId="2" priority="3">
      <formula>$H2&lt;&gt;$G2</formula>
    </cfRule>
  </conditionalFormatting>
  <conditionalFormatting sqref="I2:I1048576">
    <cfRule type="expression" dxfId="1" priority="1">
      <formula>$I2&lt;0</formula>
    </cfRule>
    <cfRule type="expression" dxfId="0" priority="2">
      <formula>$I2&gt;0</formula>
    </cfRule>
  </conditionalFormatting>
  <pageMargins left="0.78740157499999996" right="0.78740157499999996" top="0.984251969" bottom="0.984251969" header="0.4921259845" footer="0.4921259845"/>
  <pageSetup paperSize="9" orientation="landscape" r:id="rId1"/>
  <headerFooter alignWithMargins="0"/>
  <legacyDrawing r:id="rId2"/>
</worksheet>
</file>

<file path=xl/worksheets/sheet3.xml><?xml version="1.0" encoding="utf-8"?>
<worksheet xmlns="http://schemas.openxmlformats.org/spreadsheetml/2006/main" xmlns:r="http://schemas.openxmlformats.org/officeDocument/2006/relationships">
  <sheetPr codeName="Sheet6">
    <tabColor theme="3" tint="0.39997558519241921"/>
  </sheetPr>
  <dimension ref="A1:I383"/>
  <sheetViews>
    <sheetView workbookViewId="0">
      <selection activeCell="B18" sqref="B18"/>
    </sheetView>
  </sheetViews>
  <sheetFormatPr defaultColWidth="11.42578125" defaultRowHeight="12.75"/>
  <cols>
    <col min="1" max="1" width="13.28515625" style="61" customWidth="1"/>
    <col min="2" max="2" width="13.140625" style="61" customWidth="1"/>
    <col min="3" max="3" width="14.140625" style="61" customWidth="1"/>
    <col min="4" max="4" width="11.42578125" style="61" customWidth="1"/>
    <col min="5" max="6" width="14.85546875" style="61" customWidth="1"/>
    <col min="7" max="7" width="17.28515625" style="61" customWidth="1"/>
    <col min="8" max="8" width="22.42578125" style="63" customWidth="1"/>
    <col min="9" max="9" width="23.5703125" style="63" customWidth="1"/>
    <col min="10" max="16384" width="11.42578125" style="62"/>
  </cols>
  <sheetData>
    <row r="1" spans="1:9">
      <c r="A1" s="61" t="s">
        <v>938</v>
      </c>
      <c r="B1" s="61" t="s">
        <v>963</v>
      </c>
      <c r="C1" s="61" t="s">
        <v>963</v>
      </c>
      <c r="D1" s="61" t="s">
        <v>964</v>
      </c>
      <c r="E1" s="61" t="s">
        <v>965</v>
      </c>
      <c r="F1" s="61" t="s">
        <v>966</v>
      </c>
      <c r="G1" s="61" t="s">
        <v>967</v>
      </c>
      <c r="H1" s="61" t="s">
        <v>968</v>
      </c>
      <c r="I1" s="61" t="s">
        <v>969</v>
      </c>
    </row>
    <row r="2" spans="1:9">
      <c r="A2" s="10" t="s">
        <v>11</v>
      </c>
      <c r="B2" s="61" t="s">
        <v>8</v>
      </c>
      <c r="C2" s="61">
        <v>37419</v>
      </c>
      <c r="D2" s="61" t="s">
        <v>939</v>
      </c>
      <c r="E2" s="61" t="s">
        <v>940</v>
      </c>
      <c r="F2" s="61" t="s">
        <v>9</v>
      </c>
      <c r="G2" s="61">
        <v>150</v>
      </c>
      <c r="H2" s="63">
        <v>170.36</v>
      </c>
      <c r="I2" s="63">
        <v>41.57</v>
      </c>
    </row>
    <row r="3" spans="1:9">
      <c r="A3" s="10" t="s">
        <v>562</v>
      </c>
      <c r="B3" s="61" t="s">
        <v>8</v>
      </c>
      <c r="C3" s="61">
        <v>37455</v>
      </c>
      <c r="D3" s="61" t="s">
        <v>939</v>
      </c>
      <c r="E3" s="61" t="s">
        <v>940</v>
      </c>
      <c r="F3" s="61" t="s">
        <v>9</v>
      </c>
      <c r="G3" s="61">
        <v>150</v>
      </c>
      <c r="H3" s="63">
        <v>182.9</v>
      </c>
      <c r="I3" s="63">
        <v>41.57</v>
      </c>
    </row>
    <row r="4" spans="1:9">
      <c r="A4" s="21" t="s">
        <v>17</v>
      </c>
      <c r="B4" s="61" t="s">
        <v>8</v>
      </c>
      <c r="C4" s="61">
        <v>37747</v>
      </c>
      <c r="D4" s="61" t="s">
        <v>939</v>
      </c>
      <c r="E4" s="61" t="s">
        <v>10</v>
      </c>
      <c r="F4" s="61" t="s">
        <v>9</v>
      </c>
      <c r="G4" s="61">
        <v>70</v>
      </c>
      <c r="H4" s="63">
        <v>116.2</v>
      </c>
      <c r="I4" s="63">
        <v>25.876999999999999</v>
      </c>
    </row>
    <row r="5" spans="1:9">
      <c r="A5" s="10" t="s">
        <v>566</v>
      </c>
      <c r="B5" s="61" t="s">
        <v>8</v>
      </c>
      <c r="C5" s="61">
        <v>40372</v>
      </c>
      <c r="D5" s="61" t="s">
        <v>939</v>
      </c>
      <c r="E5" s="61" t="s">
        <v>12</v>
      </c>
      <c r="F5" s="61" t="s">
        <v>13</v>
      </c>
      <c r="G5" s="61">
        <v>150</v>
      </c>
      <c r="H5" s="63">
        <v>116.2</v>
      </c>
      <c r="I5" s="63">
        <v>25.88</v>
      </c>
    </row>
    <row r="6" spans="1:9">
      <c r="A6" s="21" t="s">
        <v>21</v>
      </c>
      <c r="B6" s="61" t="s">
        <v>8</v>
      </c>
      <c r="C6" s="61">
        <v>37867</v>
      </c>
      <c r="D6" s="61" t="s">
        <v>939</v>
      </c>
      <c r="E6" s="61" t="s">
        <v>10</v>
      </c>
      <c r="F6" s="61" t="s">
        <v>9</v>
      </c>
      <c r="G6" s="61">
        <v>150</v>
      </c>
      <c r="H6" s="63">
        <v>164.36699999999999</v>
      </c>
      <c r="I6" s="63">
        <v>33.493000000000002</v>
      </c>
    </row>
    <row r="7" spans="1:9">
      <c r="A7" s="10" t="s">
        <v>24</v>
      </c>
      <c r="B7" s="61" t="s">
        <v>8</v>
      </c>
      <c r="C7" s="61">
        <v>38888</v>
      </c>
      <c r="D7" s="61" t="s">
        <v>939</v>
      </c>
      <c r="E7" s="61" t="s">
        <v>10</v>
      </c>
      <c r="F7" s="61" t="s">
        <v>14</v>
      </c>
      <c r="G7" s="61">
        <v>150</v>
      </c>
      <c r="H7" s="63">
        <v>164.36699999999999</v>
      </c>
      <c r="I7" s="63">
        <v>33.493000000000002</v>
      </c>
    </row>
    <row r="8" spans="1:9">
      <c r="A8" s="10" t="s">
        <v>124</v>
      </c>
      <c r="B8" s="61" t="s">
        <v>8</v>
      </c>
      <c r="C8" s="61">
        <v>37972</v>
      </c>
      <c r="D8" s="61" t="s">
        <v>939</v>
      </c>
      <c r="E8" s="61" t="s">
        <v>10</v>
      </c>
      <c r="F8" s="61" t="s">
        <v>9</v>
      </c>
      <c r="G8" s="61">
        <v>150</v>
      </c>
      <c r="H8" s="63">
        <v>164.36699999999999</v>
      </c>
      <c r="I8" s="63">
        <v>26.77</v>
      </c>
    </row>
    <row r="9" spans="1:9">
      <c r="A9" s="21" t="s">
        <v>28</v>
      </c>
      <c r="B9" s="61" t="s">
        <v>8</v>
      </c>
      <c r="C9" s="61">
        <v>38240</v>
      </c>
      <c r="D9" s="61" t="s">
        <v>939</v>
      </c>
      <c r="E9" s="61" t="s">
        <v>10</v>
      </c>
      <c r="F9" s="61" t="s">
        <v>9</v>
      </c>
      <c r="G9" s="61">
        <v>150</v>
      </c>
      <c r="H9" s="63">
        <v>163.74</v>
      </c>
      <c r="I9" s="63">
        <v>24.37</v>
      </c>
    </row>
    <row r="10" spans="1:9">
      <c r="A10" s="10" t="s">
        <v>29</v>
      </c>
      <c r="B10" s="61" t="s">
        <v>8</v>
      </c>
      <c r="C10" s="61">
        <v>38428</v>
      </c>
      <c r="D10" s="61" t="s">
        <v>939</v>
      </c>
      <c r="E10" s="61" t="s">
        <v>10</v>
      </c>
      <c r="F10" s="61" t="s">
        <v>9</v>
      </c>
      <c r="G10" s="61">
        <v>150</v>
      </c>
      <c r="H10" s="63">
        <v>172.62</v>
      </c>
      <c r="I10" s="63">
        <v>24.37</v>
      </c>
    </row>
    <row r="11" spans="1:9">
      <c r="A11" s="10" t="s">
        <v>30</v>
      </c>
      <c r="B11" s="61" t="s">
        <v>8</v>
      </c>
      <c r="C11" s="61">
        <v>38888</v>
      </c>
      <c r="D11" s="61" t="s">
        <v>939</v>
      </c>
      <c r="E11" s="61" t="s">
        <v>10</v>
      </c>
      <c r="F11" s="61" t="s">
        <v>14</v>
      </c>
      <c r="G11" s="61">
        <v>150</v>
      </c>
      <c r="H11" s="63">
        <v>172.62</v>
      </c>
      <c r="I11" s="63">
        <v>24.37</v>
      </c>
    </row>
    <row r="12" spans="1:9">
      <c r="A12" s="10" t="s">
        <v>123</v>
      </c>
      <c r="B12" s="61" t="s">
        <v>8</v>
      </c>
      <c r="C12" s="61">
        <v>39527</v>
      </c>
      <c r="D12" s="61" t="s">
        <v>939</v>
      </c>
      <c r="E12" s="61" t="s">
        <v>12</v>
      </c>
      <c r="F12" s="61" t="s">
        <v>13</v>
      </c>
      <c r="G12" s="61">
        <v>150</v>
      </c>
      <c r="H12" s="63">
        <v>172.62</v>
      </c>
      <c r="I12" s="63">
        <v>24.37</v>
      </c>
    </row>
    <row r="13" spans="1:9">
      <c r="A13" s="10" t="s">
        <v>34</v>
      </c>
      <c r="B13" s="61" t="s">
        <v>8</v>
      </c>
      <c r="C13" s="61">
        <v>39609</v>
      </c>
      <c r="D13" s="61" t="s">
        <v>939</v>
      </c>
      <c r="E13" s="61" t="s">
        <v>12</v>
      </c>
      <c r="F13" s="61" t="s">
        <v>13</v>
      </c>
      <c r="G13" s="61">
        <v>150</v>
      </c>
      <c r="H13" s="63">
        <v>162.21</v>
      </c>
      <c r="I13" s="63">
        <v>24.37</v>
      </c>
    </row>
    <row r="14" spans="1:9">
      <c r="A14" s="10" t="s">
        <v>36</v>
      </c>
      <c r="B14" s="61" t="s">
        <v>8</v>
      </c>
      <c r="C14" s="61">
        <v>39832</v>
      </c>
      <c r="D14" s="61" t="s">
        <v>939</v>
      </c>
      <c r="E14" s="61" t="s">
        <v>16</v>
      </c>
      <c r="F14" s="61" t="s">
        <v>9</v>
      </c>
      <c r="G14" s="61">
        <v>150</v>
      </c>
      <c r="H14" s="63">
        <v>172.62</v>
      </c>
      <c r="I14" s="63">
        <v>24.37</v>
      </c>
    </row>
    <row r="15" spans="1:9">
      <c r="A15" s="10" t="s">
        <v>37</v>
      </c>
      <c r="B15" s="61" t="s">
        <v>8</v>
      </c>
      <c r="C15" s="61">
        <v>39428</v>
      </c>
      <c r="D15" s="61" t="s">
        <v>939</v>
      </c>
      <c r="E15" s="61" t="s">
        <v>10</v>
      </c>
      <c r="F15" s="61" t="s">
        <v>14</v>
      </c>
      <c r="G15" s="61">
        <v>150</v>
      </c>
      <c r="H15" s="63">
        <v>172.91</v>
      </c>
      <c r="I15" s="63">
        <v>13.13</v>
      </c>
    </row>
    <row r="16" spans="1:9">
      <c r="A16" s="22" t="s">
        <v>38</v>
      </c>
      <c r="B16" s="61" t="s">
        <v>8</v>
      </c>
      <c r="C16" s="61">
        <v>39513</v>
      </c>
      <c r="D16" s="61" t="s">
        <v>939</v>
      </c>
      <c r="E16" s="61" t="s">
        <v>12</v>
      </c>
      <c r="F16" s="61" t="s">
        <v>13</v>
      </c>
      <c r="G16" s="61">
        <v>150</v>
      </c>
      <c r="H16" s="63">
        <v>172.91</v>
      </c>
      <c r="I16" s="63">
        <v>13.13</v>
      </c>
    </row>
    <row r="17" spans="1:9">
      <c r="A17" s="10" t="s">
        <v>40</v>
      </c>
      <c r="B17" s="61" t="s">
        <v>8</v>
      </c>
      <c r="C17" s="61">
        <v>39609</v>
      </c>
      <c r="D17" s="61" t="s">
        <v>939</v>
      </c>
      <c r="E17" s="61" t="s">
        <v>12</v>
      </c>
      <c r="F17" s="61" t="s">
        <v>13</v>
      </c>
      <c r="G17" s="61">
        <v>150</v>
      </c>
      <c r="H17" s="63">
        <v>161.96</v>
      </c>
      <c r="I17" s="63">
        <v>13.13</v>
      </c>
    </row>
    <row r="18" spans="1:9">
      <c r="A18" s="22" t="s">
        <v>41</v>
      </c>
      <c r="B18" s="61" t="s">
        <v>18</v>
      </c>
      <c r="C18" s="61">
        <v>38524</v>
      </c>
      <c r="D18" s="61" t="s">
        <v>939</v>
      </c>
      <c r="E18" s="61" t="s">
        <v>10</v>
      </c>
      <c r="F18" s="61" t="s">
        <v>9</v>
      </c>
      <c r="G18" s="61">
        <v>150</v>
      </c>
      <c r="H18" s="63">
        <v>58.68</v>
      </c>
    </row>
    <row r="19" spans="1:9">
      <c r="A19" s="22" t="s">
        <v>42</v>
      </c>
      <c r="B19" s="61" t="s">
        <v>18</v>
      </c>
      <c r="C19" s="61">
        <v>38777</v>
      </c>
      <c r="D19" s="61" t="s">
        <v>939</v>
      </c>
      <c r="E19" s="61" t="s">
        <v>10</v>
      </c>
      <c r="F19" s="61" t="s">
        <v>9</v>
      </c>
      <c r="G19" s="61">
        <v>150</v>
      </c>
      <c r="H19" s="63">
        <v>96.69</v>
      </c>
    </row>
    <row r="20" spans="1:9">
      <c r="A20" s="10" t="s">
        <v>128</v>
      </c>
      <c r="B20" s="61" t="s">
        <v>18</v>
      </c>
      <c r="C20" s="61">
        <v>38777</v>
      </c>
      <c r="D20" s="61" t="s">
        <v>939</v>
      </c>
      <c r="E20" s="61" t="s">
        <v>10</v>
      </c>
      <c r="F20" s="61" t="s">
        <v>9</v>
      </c>
      <c r="G20" s="61">
        <v>150</v>
      </c>
      <c r="H20" s="63">
        <v>96.79</v>
      </c>
    </row>
    <row r="21" spans="1:9">
      <c r="A21" s="10" t="s">
        <v>46</v>
      </c>
      <c r="B21" s="61" t="s">
        <v>8</v>
      </c>
      <c r="C21" s="61">
        <v>36690</v>
      </c>
      <c r="D21" s="61" t="s">
        <v>939</v>
      </c>
      <c r="E21" s="61" t="s">
        <v>10</v>
      </c>
      <c r="F21" s="61" t="s">
        <v>9</v>
      </c>
      <c r="G21" s="61">
        <v>150</v>
      </c>
      <c r="H21" s="63">
        <v>152.81</v>
      </c>
      <c r="I21" s="63">
        <v>33.49</v>
      </c>
    </row>
    <row r="22" spans="1:9">
      <c r="A22" s="10" t="s">
        <v>47</v>
      </c>
      <c r="B22" s="61" t="s">
        <v>8</v>
      </c>
      <c r="C22" s="61">
        <v>37033</v>
      </c>
      <c r="D22" s="61" t="s">
        <v>939</v>
      </c>
      <c r="E22" s="61" t="s">
        <v>10</v>
      </c>
      <c r="F22" s="61" t="s">
        <v>9</v>
      </c>
      <c r="G22" s="61">
        <v>150</v>
      </c>
      <c r="H22" s="63">
        <v>152.55000000000001</v>
      </c>
      <c r="I22" s="63">
        <v>33.49</v>
      </c>
    </row>
    <row r="23" spans="1:9">
      <c r="A23" s="10" t="s">
        <v>48</v>
      </c>
      <c r="B23" s="61" t="s">
        <v>8</v>
      </c>
      <c r="C23" s="61">
        <v>38527</v>
      </c>
      <c r="D23" s="61" t="s">
        <v>939</v>
      </c>
      <c r="E23" s="61" t="s">
        <v>10</v>
      </c>
      <c r="F23" s="61" t="s">
        <v>9</v>
      </c>
      <c r="G23" s="61">
        <v>150</v>
      </c>
      <c r="H23" s="63">
        <v>171.02</v>
      </c>
      <c r="I23" s="63">
        <v>33.49</v>
      </c>
    </row>
    <row r="24" spans="1:9">
      <c r="A24" s="10" t="s">
        <v>374</v>
      </c>
      <c r="B24" s="61" t="s">
        <v>8</v>
      </c>
      <c r="C24" s="61">
        <v>39630</v>
      </c>
      <c r="D24" s="61" t="s">
        <v>939</v>
      </c>
      <c r="E24" s="61" t="s">
        <v>12</v>
      </c>
      <c r="F24" s="61" t="s">
        <v>13</v>
      </c>
      <c r="G24" s="61">
        <v>150</v>
      </c>
      <c r="H24" s="63">
        <v>171.02</v>
      </c>
      <c r="I24" s="63">
        <v>33.49</v>
      </c>
    </row>
    <row r="25" spans="1:9">
      <c r="A25" s="10" t="s">
        <v>50</v>
      </c>
      <c r="B25" s="61" t="s">
        <v>8</v>
      </c>
      <c r="C25" s="61">
        <v>40119</v>
      </c>
      <c r="D25" s="61" t="s">
        <v>939</v>
      </c>
      <c r="E25" s="61" t="s">
        <v>19</v>
      </c>
      <c r="F25" s="61" t="s">
        <v>14</v>
      </c>
      <c r="G25" s="61">
        <v>150</v>
      </c>
      <c r="H25" s="63">
        <v>171.02</v>
      </c>
      <c r="I25" s="63">
        <v>33.49</v>
      </c>
    </row>
    <row r="26" spans="1:9">
      <c r="A26" s="21" t="s">
        <v>51</v>
      </c>
      <c r="B26" s="61" t="s">
        <v>8</v>
      </c>
      <c r="C26" s="61">
        <v>40289</v>
      </c>
      <c r="D26" s="61" t="s">
        <v>939</v>
      </c>
      <c r="E26" s="61" t="s">
        <v>16</v>
      </c>
      <c r="F26" s="61" t="s">
        <v>9</v>
      </c>
      <c r="G26" s="61">
        <v>150</v>
      </c>
      <c r="H26" s="63">
        <v>171.02</v>
      </c>
      <c r="I26" s="63">
        <v>33.49</v>
      </c>
    </row>
    <row r="27" spans="1:9">
      <c r="A27" s="10" t="s">
        <v>52</v>
      </c>
      <c r="B27" s="61" t="s">
        <v>22</v>
      </c>
      <c r="C27" s="61">
        <v>41078</v>
      </c>
      <c r="D27" s="61" t="s">
        <v>939</v>
      </c>
      <c r="E27" s="61" t="s">
        <v>23</v>
      </c>
      <c r="F27" s="61" t="s">
        <v>13</v>
      </c>
      <c r="G27" s="61">
        <v>150</v>
      </c>
      <c r="H27" s="63">
        <v>156.53</v>
      </c>
      <c r="I27" s="63">
        <v>113.77</v>
      </c>
    </row>
    <row r="28" spans="1:9">
      <c r="A28" s="10" t="s">
        <v>122</v>
      </c>
      <c r="B28" s="61" t="s">
        <v>22</v>
      </c>
      <c r="C28" s="61">
        <v>41597</v>
      </c>
      <c r="D28" s="61" t="s">
        <v>939</v>
      </c>
      <c r="E28" s="61" t="s">
        <v>23</v>
      </c>
      <c r="F28" s="61" t="s">
        <v>13</v>
      </c>
      <c r="G28" s="61">
        <v>150</v>
      </c>
      <c r="H28" s="63">
        <v>156.53</v>
      </c>
      <c r="I28" s="63">
        <v>116.29</v>
      </c>
    </row>
    <row r="29" spans="1:9">
      <c r="A29" s="10" t="s">
        <v>378</v>
      </c>
      <c r="B29" s="61" t="s">
        <v>22</v>
      </c>
      <c r="C29" s="61">
        <v>41121</v>
      </c>
      <c r="D29" s="61" t="s">
        <v>939</v>
      </c>
      <c r="E29" s="61" t="s">
        <v>23</v>
      </c>
      <c r="F29" s="61" t="s">
        <v>13</v>
      </c>
      <c r="G29" s="61">
        <v>150</v>
      </c>
      <c r="H29" s="63">
        <v>164.23</v>
      </c>
      <c r="I29" s="63">
        <v>80.72</v>
      </c>
    </row>
    <row r="30" spans="1:9">
      <c r="A30" s="21" t="s">
        <v>55</v>
      </c>
      <c r="B30" s="61" t="s">
        <v>22</v>
      </c>
      <c r="C30" s="61">
        <v>41521</v>
      </c>
      <c r="D30" s="61" t="s">
        <v>939</v>
      </c>
      <c r="E30" s="61" t="s">
        <v>23</v>
      </c>
      <c r="F30" s="61" t="s">
        <v>13</v>
      </c>
      <c r="G30" s="61">
        <v>150</v>
      </c>
      <c r="H30" s="63">
        <v>164.23</v>
      </c>
      <c r="I30" s="63">
        <v>80.72</v>
      </c>
    </row>
    <row r="31" spans="1:9">
      <c r="A31" s="21" t="s">
        <v>56</v>
      </c>
      <c r="B31" s="61" t="s">
        <v>22</v>
      </c>
      <c r="C31" s="61">
        <v>36510</v>
      </c>
      <c r="D31" s="61" t="s">
        <v>939</v>
      </c>
      <c r="E31" s="61" t="s">
        <v>10</v>
      </c>
      <c r="F31" s="61" t="s">
        <v>9</v>
      </c>
      <c r="G31" s="61">
        <v>150</v>
      </c>
      <c r="H31" s="63">
        <v>206</v>
      </c>
      <c r="I31" s="63">
        <v>83</v>
      </c>
    </row>
    <row r="32" spans="1:9">
      <c r="A32" s="10" t="s">
        <v>57</v>
      </c>
      <c r="B32" s="61" t="s">
        <v>8</v>
      </c>
      <c r="C32" s="61">
        <v>36866</v>
      </c>
      <c r="D32" s="61" t="s">
        <v>939</v>
      </c>
      <c r="E32" s="61" t="s">
        <v>10</v>
      </c>
      <c r="F32" s="61" t="s">
        <v>9</v>
      </c>
      <c r="G32" s="61">
        <v>150</v>
      </c>
      <c r="H32" s="63">
        <v>177.1</v>
      </c>
      <c r="I32" s="63">
        <v>20.12</v>
      </c>
    </row>
    <row r="33" spans="1:9">
      <c r="A33" s="10" t="s">
        <v>58</v>
      </c>
      <c r="B33" s="61" t="s">
        <v>8</v>
      </c>
      <c r="C33" s="61">
        <v>36930</v>
      </c>
      <c r="D33" s="61" t="s">
        <v>939</v>
      </c>
      <c r="E33" s="61" t="s">
        <v>10</v>
      </c>
      <c r="F33" s="61" t="s">
        <v>9</v>
      </c>
      <c r="G33" s="61">
        <v>150</v>
      </c>
      <c r="H33" s="63">
        <v>157.81</v>
      </c>
      <c r="I33" s="63">
        <v>20.12</v>
      </c>
    </row>
    <row r="34" spans="1:9">
      <c r="A34" s="21" t="s">
        <v>59</v>
      </c>
      <c r="B34" s="61" t="s">
        <v>8</v>
      </c>
      <c r="C34" s="61">
        <v>37071</v>
      </c>
      <c r="D34" s="61" t="s">
        <v>939</v>
      </c>
      <c r="E34" s="61" t="s">
        <v>940</v>
      </c>
      <c r="F34" s="61" t="s">
        <v>9</v>
      </c>
      <c r="G34" s="61">
        <v>150</v>
      </c>
      <c r="H34" s="63">
        <v>182.94</v>
      </c>
      <c r="I34" s="63">
        <v>4.1399999999999997</v>
      </c>
    </row>
    <row r="35" spans="1:9">
      <c r="A35" s="21" t="s">
        <v>60</v>
      </c>
      <c r="B35" s="61" t="s">
        <v>8</v>
      </c>
      <c r="C35" s="61">
        <v>37041</v>
      </c>
      <c r="D35" s="61" t="s">
        <v>939</v>
      </c>
      <c r="E35" s="61" t="s">
        <v>10</v>
      </c>
      <c r="F35" s="61" t="s">
        <v>9</v>
      </c>
      <c r="G35" s="61">
        <v>150</v>
      </c>
      <c r="H35" s="63">
        <v>156.80000000000001</v>
      </c>
      <c r="I35" s="63">
        <v>4.0999999999999996</v>
      </c>
    </row>
    <row r="36" spans="1:9">
      <c r="A36" s="21" t="s">
        <v>61</v>
      </c>
      <c r="B36" s="61" t="s">
        <v>8</v>
      </c>
      <c r="C36" s="61">
        <v>37041</v>
      </c>
      <c r="D36" s="61" t="s">
        <v>939</v>
      </c>
      <c r="E36" s="61" t="s">
        <v>940</v>
      </c>
      <c r="F36" s="61" t="s">
        <v>9</v>
      </c>
      <c r="G36" s="61">
        <v>150</v>
      </c>
      <c r="H36" s="63">
        <v>156.80000000000001</v>
      </c>
      <c r="I36" s="63">
        <v>4.0999999999999996</v>
      </c>
    </row>
    <row r="37" spans="1:9">
      <c r="A37" s="10" t="s">
        <v>62</v>
      </c>
      <c r="B37" s="61" t="s">
        <v>8</v>
      </c>
      <c r="C37" s="61">
        <v>37061</v>
      </c>
      <c r="D37" s="61" t="s">
        <v>939</v>
      </c>
      <c r="E37" s="61" t="s">
        <v>10</v>
      </c>
      <c r="F37" s="61" t="s">
        <v>9</v>
      </c>
      <c r="G37" s="61">
        <v>150</v>
      </c>
      <c r="H37" s="63">
        <v>153.03</v>
      </c>
      <c r="I37" s="63">
        <v>4.13</v>
      </c>
    </row>
    <row r="38" spans="1:9">
      <c r="A38" s="10" t="s">
        <v>63</v>
      </c>
      <c r="B38" s="61" t="s">
        <v>8</v>
      </c>
      <c r="C38" s="61">
        <v>37061</v>
      </c>
      <c r="D38" s="61" t="s">
        <v>939</v>
      </c>
      <c r="E38" s="61" t="s">
        <v>940</v>
      </c>
      <c r="F38" s="61" t="s">
        <v>9</v>
      </c>
      <c r="G38" s="61">
        <v>150</v>
      </c>
      <c r="H38" s="63">
        <v>153.03</v>
      </c>
      <c r="I38" s="63">
        <v>4.13</v>
      </c>
    </row>
    <row r="39" spans="1:9">
      <c r="A39" s="10" t="s">
        <v>64</v>
      </c>
      <c r="B39" s="61" t="s">
        <v>8</v>
      </c>
      <c r="C39" s="61">
        <v>37412</v>
      </c>
      <c r="D39" s="61" t="s">
        <v>939</v>
      </c>
      <c r="E39" s="61" t="s">
        <v>940</v>
      </c>
      <c r="F39" s="61" t="s">
        <v>9</v>
      </c>
      <c r="G39" s="61">
        <v>150</v>
      </c>
      <c r="H39" s="63">
        <v>152.87</v>
      </c>
      <c r="I39" s="63">
        <v>4.13</v>
      </c>
    </row>
    <row r="40" spans="1:9">
      <c r="A40" s="21" t="s">
        <v>67</v>
      </c>
      <c r="B40" s="61" t="s">
        <v>22</v>
      </c>
      <c r="C40" s="61">
        <v>37242</v>
      </c>
      <c r="D40" s="61" t="s">
        <v>939</v>
      </c>
      <c r="E40" s="61" t="s">
        <v>10</v>
      </c>
      <c r="F40" s="61" t="s">
        <v>9</v>
      </c>
      <c r="G40" s="61">
        <v>150</v>
      </c>
      <c r="H40" s="63">
        <v>172.61</v>
      </c>
      <c r="I40" s="63">
        <v>67.41</v>
      </c>
    </row>
    <row r="41" spans="1:9">
      <c r="A41" s="21" t="s">
        <v>68</v>
      </c>
      <c r="B41" s="61" t="s">
        <v>22</v>
      </c>
      <c r="C41" s="61">
        <v>37361</v>
      </c>
      <c r="D41" s="61" t="s">
        <v>939</v>
      </c>
      <c r="E41" s="61" t="s">
        <v>10</v>
      </c>
      <c r="F41" s="61" t="s">
        <v>9</v>
      </c>
      <c r="G41" s="61">
        <v>150</v>
      </c>
      <c r="H41" s="63">
        <v>172.61</v>
      </c>
      <c r="I41" s="63">
        <v>67.41</v>
      </c>
    </row>
    <row r="42" spans="1:9">
      <c r="A42" s="10" t="s">
        <v>69</v>
      </c>
      <c r="B42" s="61" t="s">
        <v>22</v>
      </c>
      <c r="C42" s="61">
        <v>37242</v>
      </c>
      <c r="D42" s="61" t="s">
        <v>939</v>
      </c>
      <c r="E42" s="61" t="s">
        <v>10</v>
      </c>
      <c r="F42" s="61" t="s">
        <v>9</v>
      </c>
      <c r="G42" s="61">
        <v>150</v>
      </c>
      <c r="H42" s="63">
        <v>173.63</v>
      </c>
      <c r="I42" s="63">
        <v>67.41</v>
      </c>
    </row>
    <row r="43" spans="1:9">
      <c r="A43" s="21" t="s">
        <v>70</v>
      </c>
      <c r="B43" s="61" t="s">
        <v>22</v>
      </c>
      <c r="C43" s="61">
        <v>37361</v>
      </c>
      <c r="D43" s="61" t="s">
        <v>939</v>
      </c>
      <c r="E43" s="61" t="s">
        <v>10</v>
      </c>
      <c r="F43" s="61" t="s">
        <v>9</v>
      </c>
      <c r="G43" s="61">
        <v>150</v>
      </c>
      <c r="H43" s="63">
        <v>161.465</v>
      </c>
      <c r="I43" s="63">
        <v>68.045000000000002</v>
      </c>
    </row>
    <row r="44" spans="1:9">
      <c r="A44" s="21" t="s">
        <v>72</v>
      </c>
      <c r="B44" s="61" t="s">
        <v>22</v>
      </c>
      <c r="C44" s="61">
        <v>37798</v>
      </c>
      <c r="D44" s="61" t="s">
        <v>939</v>
      </c>
      <c r="E44" s="61" t="s">
        <v>10</v>
      </c>
      <c r="F44" s="61" t="s">
        <v>9</v>
      </c>
      <c r="G44" s="61">
        <v>150</v>
      </c>
      <c r="H44" s="63">
        <v>163.38900000000001</v>
      </c>
      <c r="I44" s="63">
        <v>63.366</v>
      </c>
    </row>
    <row r="45" spans="1:9">
      <c r="A45" s="10" t="s">
        <v>74</v>
      </c>
      <c r="B45" s="61" t="s">
        <v>22</v>
      </c>
      <c r="C45" s="61">
        <v>39297</v>
      </c>
      <c r="D45" s="61" t="s">
        <v>939</v>
      </c>
      <c r="E45" s="61" t="s">
        <v>10</v>
      </c>
      <c r="F45" s="61" t="s">
        <v>9</v>
      </c>
      <c r="G45" s="61">
        <v>150</v>
      </c>
      <c r="H45" s="63">
        <v>163.38900000000001</v>
      </c>
      <c r="I45" s="63">
        <v>63.366</v>
      </c>
    </row>
    <row r="46" spans="1:9">
      <c r="A46" s="10" t="s">
        <v>75</v>
      </c>
      <c r="B46" s="61" t="s">
        <v>941</v>
      </c>
      <c r="C46" s="61">
        <v>39352</v>
      </c>
      <c r="D46" s="61" t="s">
        <v>939</v>
      </c>
      <c r="E46" s="61" t="s">
        <v>10</v>
      </c>
      <c r="F46" s="61" t="s">
        <v>9</v>
      </c>
      <c r="G46" s="61">
        <v>150</v>
      </c>
      <c r="H46" s="63">
        <v>17.02</v>
      </c>
      <c r="I46" s="63">
        <v>10.55</v>
      </c>
    </row>
    <row r="47" spans="1:9">
      <c r="A47" s="10" t="s">
        <v>76</v>
      </c>
      <c r="B47" s="61" t="s">
        <v>22</v>
      </c>
      <c r="C47" s="61">
        <v>36902</v>
      </c>
      <c r="D47" s="61" t="s">
        <v>939</v>
      </c>
      <c r="E47" s="61" t="s">
        <v>10</v>
      </c>
      <c r="F47" s="61" t="s">
        <v>9</v>
      </c>
      <c r="G47" s="61">
        <v>70</v>
      </c>
      <c r="H47" s="63">
        <v>158.79</v>
      </c>
      <c r="I47" s="63">
        <v>48.48</v>
      </c>
    </row>
    <row r="48" spans="1:9">
      <c r="A48" s="10" t="s">
        <v>77</v>
      </c>
      <c r="B48" s="61" t="s">
        <v>18</v>
      </c>
      <c r="C48" s="61">
        <v>36126</v>
      </c>
      <c r="D48" s="61" t="s">
        <v>939</v>
      </c>
      <c r="E48" s="61" t="s">
        <v>10</v>
      </c>
      <c r="F48" s="61" t="s">
        <v>9</v>
      </c>
      <c r="G48" s="61">
        <v>150</v>
      </c>
      <c r="H48" s="63">
        <v>340.5</v>
      </c>
    </row>
    <row r="49" spans="1:9">
      <c r="A49" s="10" t="s">
        <v>78</v>
      </c>
      <c r="B49" s="61" t="s">
        <v>18</v>
      </c>
      <c r="C49" s="61">
        <v>37858</v>
      </c>
      <c r="D49" s="61" t="s">
        <v>939</v>
      </c>
      <c r="E49" s="61" t="s">
        <v>10</v>
      </c>
      <c r="F49" s="61" t="s">
        <v>9</v>
      </c>
      <c r="G49" s="61">
        <v>150</v>
      </c>
      <c r="H49" s="63">
        <v>340.5</v>
      </c>
    </row>
    <row r="50" spans="1:9">
      <c r="A50" s="10" t="s">
        <v>79</v>
      </c>
      <c r="B50" s="61" t="s">
        <v>18</v>
      </c>
      <c r="C50" s="61">
        <v>40102</v>
      </c>
      <c r="D50" s="61" t="s">
        <v>939</v>
      </c>
      <c r="E50" s="61" t="s">
        <v>26</v>
      </c>
      <c r="F50" s="61" t="s">
        <v>14</v>
      </c>
      <c r="G50" s="61">
        <v>150</v>
      </c>
      <c r="H50" s="63">
        <v>340.5</v>
      </c>
    </row>
    <row r="51" spans="1:9">
      <c r="A51" s="10" t="s">
        <v>80</v>
      </c>
      <c r="B51" s="61" t="s">
        <v>18</v>
      </c>
      <c r="C51" s="61">
        <v>40967</v>
      </c>
      <c r="D51" s="61" t="s">
        <v>939</v>
      </c>
      <c r="E51" s="61" t="s">
        <v>26</v>
      </c>
      <c r="F51" s="61" t="s">
        <v>14</v>
      </c>
      <c r="G51" s="61">
        <v>150</v>
      </c>
      <c r="H51" s="63">
        <v>237.23</v>
      </c>
    </row>
    <row r="52" spans="1:9">
      <c r="A52" s="10" t="s">
        <v>81</v>
      </c>
      <c r="B52" s="61" t="s">
        <v>943</v>
      </c>
      <c r="C52" s="61">
        <v>36172</v>
      </c>
      <c r="D52" s="61" t="s">
        <v>939</v>
      </c>
      <c r="E52" s="61" t="s">
        <v>10</v>
      </c>
      <c r="F52" s="61" t="s">
        <v>9</v>
      </c>
      <c r="G52" s="61">
        <v>70</v>
      </c>
      <c r="H52" s="63">
        <v>126.61</v>
      </c>
    </row>
    <row r="53" spans="1:9">
      <c r="A53" s="10" t="s">
        <v>82</v>
      </c>
      <c r="B53" s="61" t="s">
        <v>943</v>
      </c>
      <c r="C53" s="61">
        <v>38078</v>
      </c>
      <c r="D53" s="61" t="s">
        <v>939</v>
      </c>
      <c r="E53" s="61" t="s">
        <v>10</v>
      </c>
      <c r="F53" s="61" t="s">
        <v>9</v>
      </c>
      <c r="G53" s="61">
        <v>70</v>
      </c>
      <c r="H53" s="63">
        <v>126.61</v>
      </c>
    </row>
    <row r="54" spans="1:9">
      <c r="A54" s="10" t="s">
        <v>83</v>
      </c>
      <c r="B54" s="61" t="s">
        <v>943</v>
      </c>
      <c r="C54" s="61">
        <v>39512</v>
      </c>
      <c r="D54" s="61" t="s">
        <v>939</v>
      </c>
      <c r="E54" s="61" t="s">
        <v>10</v>
      </c>
      <c r="F54" s="61" t="s">
        <v>9</v>
      </c>
      <c r="G54" s="61">
        <v>150</v>
      </c>
      <c r="H54" s="63">
        <v>126.61</v>
      </c>
    </row>
    <row r="55" spans="1:9">
      <c r="A55" s="10" t="s">
        <v>292</v>
      </c>
      <c r="B55" s="61" t="s">
        <v>943</v>
      </c>
      <c r="C55" s="61">
        <v>40105</v>
      </c>
      <c r="D55" s="61" t="s">
        <v>939</v>
      </c>
      <c r="E55" s="61" t="s">
        <v>26</v>
      </c>
      <c r="F55" s="61" t="s">
        <v>14</v>
      </c>
      <c r="G55" s="61">
        <v>150</v>
      </c>
      <c r="H55" s="63">
        <v>126.61</v>
      </c>
    </row>
    <row r="56" spans="1:9">
      <c r="A56" s="29" t="s">
        <v>85</v>
      </c>
      <c r="B56" s="61" t="s">
        <v>943</v>
      </c>
      <c r="C56" s="61">
        <v>38006</v>
      </c>
      <c r="D56" s="61" t="s">
        <v>939</v>
      </c>
      <c r="E56" s="61" t="s">
        <v>10</v>
      </c>
      <c r="F56" s="61" t="s">
        <v>9</v>
      </c>
      <c r="G56" s="61">
        <v>70</v>
      </c>
      <c r="H56" s="63">
        <v>24.38</v>
      </c>
    </row>
    <row r="57" spans="1:9">
      <c r="A57" s="10" t="s">
        <v>86</v>
      </c>
      <c r="B57" s="61" t="s">
        <v>943</v>
      </c>
      <c r="C57" s="61">
        <v>38057</v>
      </c>
      <c r="D57" s="61" t="s">
        <v>939</v>
      </c>
      <c r="E57" s="61" t="s">
        <v>10</v>
      </c>
      <c r="F57" s="61" t="s">
        <v>9</v>
      </c>
      <c r="G57" s="61">
        <v>70</v>
      </c>
      <c r="H57" s="63">
        <v>28.72</v>
      </c>
    </row>
    <row r="58" spans="1:9">
      <c r="A58" s="10" t="s">
        <v>87</v>
      </c>
      <c r="B58" s="61" t="s">
        <v>943</v>
      </c>
      <c r="C58" s="61">
        <v>40470</v>
      </c>
      <c r="D58" s="61" t="s">
        <v>939</v>
      </c>
      <c r="E58" s="61" t="s">
        <v>26</v>
      </c>
      <c r="F58" s="61" t="s">
        <v>14</v>
      </c>
      <c r="G58" s="61">
        <v>150</v>
      </c>
      <c r="H58" s="63">
        <v>28.72</v>
      </c>
      <c r="I58" s="63">
        <v>0</v>
      </c>
    </row>
    <row r="59" spans="1:9">
      <c r="A59" s="10" t="s">
        <v>88</v>
      </c>
      <c r="B59" s="61" t="s">
        <v>22</v>
      </c>
      <c r="C59" s="61">
        <v>41344</v>
      </c>
      <c r="D59" s="61" t="s">
        <v>939</v>
      </c>
      <c r="E59" s="61" t="s">
        <v>944</v>
      </c>
      <c r="F59" s="61" t="s">
        <v>13</v>
      </c>
      <c r="G59" s="61">
        <v>150</v>
      </c>
      <c r="H59" s="63">
        <v>116.35</v>
      </c>
      <c r="I59" s="63">
        <v>103.66</v>
      </c>
    </row>
    <row r="60" spans="1:9">
      <c r="A60" s="10" t="s">
        <v>89</v>
      </c>
      <c r="B60" s="61" t="s">
        <v>22</v>
      </c>
      <c r="C60" s="61">
        <v>41534</v>
      </c>
      <c r="D60" s="61" t="s">
        <v>939</v>
      </c>
      <c r="E60" s="61" t="s">
        <v>944</v>
      </c>
      <c r="F60" s="61" t="s">
        <v>13</v>
      </c>
      <c r="G60" s="61">
        <v>150</v>
      </c>
      <c r="H60" s="63">
        <v>116.35</v>
      </c>
      <c r="I60" s="63">
        <v>103.66</v>
      </c>
    </row>
    <row r="61" spans="1:9">
      <c r="A61" s="10" t="s">
        <v>90</v>
      </c>
      <c r="B61" s="61" t="s">
        <v>8</v>
      </c>
      <c r="C61" s="61">
        <v>41389</v>
      </c>
      <c r="D61" s="61" t="s">
        <v>939</v>
      </c>
      <c r="E61" s="61" t="s">
        <v>27</v>
      </c>
      <c r="F61" s="61" t="s">
        <v>13</v>
      </c>
      <c r="G61" s="61">
        <v>150</v>
      </c>
      <c r="H61" s="63">
        <v>127.61</v>
      </c>
      <c r="I61" s="63">
        <v>0.56999999999999995</v>
      </c>
    </row>
    <row r="62" spans="1:9">
      <c r="A62" s="21" t="s">
        <v>144</v>
      </c>
      <c r="B62" s="61" t="s">
        <v>8</v>
      </c>
      <c r="C62" s="61">
        <v>36529</v>
      </c>
      <c r="D62" s="61" t="s">
        <v>939</v>
      </c>
      <c r="E62" s="61" t="s">
        <v>10</v>
      </c>
      <c r="F62" s="61" t="s">
        <v>9</v>
      </c>
      <c r="G62" s="61">
        <v>70</v>
      </c>
      <c r="H62" s="63">
        <v>69.8</v>
      </c>
      <c r="I62" s="63">
        <v>20.48</v>
      </c>
    </row>
    <row r="63" spans="1:9">
      <c r="A63" s="10" t="s">
        <v>92</v>
      </c>
      <c r="B63" s="61" t="s">
        <v>945</v>
      </c>
      <c r="C63" s="61">
        <v>37587</v>
      </c>
      <c r="D63" s="61" t="s">
        <v>939</v>
      </c>
      <c r="E63" s="61" t="s">
        <v>10</v>
      </c>
      <c r="F63" s="61" t="s">
        <v>9</v>
      </c>
      <c r="G63" s="61">
        <v>35</v>
      </c>
      <c r="H63" s="63">
        <v>134.63999999999999</v>
      </c>
      <c r="I63" s="63">
        <v>109.6</v>
      </c>
    </row>
    <row r="64" spans="1:9">
      <c r="A64" s="10" t="s">
        <v>93</v>
      </c>
      <c r="B64" s="61" t="s">
        <v>945</v>
      </c>
      <c r="C64" s="61">
        <v>37587</v>
      </c>
      <c r="D64" s="61" t="s">
        <v>939</v>
      </c>
      <c r="E64" s="61" t="s">
        <v>10</v>
      </c>
      <c r="F64" s="61" t="s">
        <v>9</v>
      </c>
      <c r="G64" s="61">
        <v>35</v>
      </c>
      <c r="H64" s="63">
        <v>134.63999999999999</v>
      </c>
      <c r="I64" s="63">
        <v>109.6</v>
      </c>
    </row>
    <row r="65" spans="1:9">
      <c r="A65" s="10" t="s">
        <v>94</v>
      </c>
      <c r="B65" s="61" t="s">
        <v>945</v>
      </c>
      <c r="C65" s="61">
        <v>37587</v>
      </c>
      <c r="D65" s="61" t="s">
        <v>939</v>
      </c>
      <c r="E65" s="61" t="s">
        <v>10</v>
      </c>
      <c r="F65" s="61" t="s">
        <v>9</v>
      </c>
      <c r="G65" s="61">
        <v>35</v>
      </c>
      <c r="H65" s="63">
        <v>154.19</v>
      </c>
      <c r="I65" s="63">
        <v>128.85</v>
      </c>
    </row>
    <row r="66" spans="1:9">
      <c r="A66" s="29" t="s">
        <v>95</v>
      </c>
      <c r="B66" s="61" t="s">
        <v>945</v>
      </c>
      <c r="C66" s="61">
        <v>37587</v>
      </c>
      <c r="D66" s="61" t="s">
        <v>939</v>
      </c>
      <c r="E66" s="61" t="s">
        <v>10</v>
      </c>
      <c r="F66" s="61" t="s">
        <v>9</v>
      </c>
      <c r="G66" s="61">
        <v>35</v>
      </c>
      <c r="H66" s="63">
        <v>154.19</v>
      </c>
      <c r="I66" s="63">
        <v>128.85</v>
      </c>
    </row>
    <row r="67" spans="1:9">
      <c r="A67" s="21" t="s">
        <v>96</v>
      </c>
      <c r="B67" s="61" t="s">
        <v>945</v>
      </c>
      <c r="C67" s="61">
        <v>37587</v>
      </c>
      <c r="D67" s="61" t="s">
        <v>939</v>
      </c>
      <c r="E67" s="61" t="s">
        <v>10</v>
      </c>
      <c r="F67" s="61" t="s">
        <v>9</v>
      </c>
      <c r="G67" s="61">
        <v>35</v>
      </c>
      <c r="H67" s="63">
        <v>97.59</v>
      </c>
      <c r="I67" s="63">
        <v>88.19</v>
      </c>
    </row>
    <row r="68" spans="1:9">
      <c r="A68" s="21" t="s">
        <v>97</v>
      </c>
      <c r="B68" s="61" t="s">
        <v>945</v>
      </c>
      <c r="C68" s="61">
        <v>37587</v>
      </c>
      <c r="D68" s="61" t="s">
        <v>939</v>
      </c>
      <c r="E68" s="61" t="s">
        <v>10</v>
      </c>
      <c r="F68" s="61" t="s">
        <v>9</v>
      </c>
      <c r="G68" s="61">
        <v>35</v>
      </c>
      <c r="H68" s="63">
        <v>94.16</v>
      </c>
      <c r="I68" s="63">
        <v>85.85</v>
      </c>
    </row>
    <row r="69" spans="1:9">
      <c r="A69" s="10" t="s">
        <v>354</v>
      </c>
      <c r="B69" s="61" t="s">
        <v>945</v>
      </c>
      <c r="C69" s="61">
        <v>37587</v>
      </c>
      <c r="D69" s="61" t="s">
        <v>939</v>
      </c>
      <c r="E69" s="61" t="s">
        <v>10</v>
      </c>
      <c r="F69" s="61" t="s">
        <v>9</v>
      </c>
      <c r="G69" s="61">
        <v>35</v>
      </c>
      <c r="H69" s="63">
        <v>243.44</v>
      </c>
      <c r="I69" s="63">
        <v>202.28</v>
      </c>
    </row>
    <row r="70" spans="1:9">
      <c r="A70" s="21" t="s">
        <v>99</v>
      </c>
      <c r="B70" s="61" t="s">
        <v>22</v>
      </c>
      <c r="C70" s="61">
        <v>40549</v>
      </c>
      <c r="D70" s="61" t="s">
        <v>939</v>
      </c>
      <c r="E70" s="61" t="s">
        <v>23</v>
      </c>
      <c r="F70" s="61" t="s">
        <v>13</v>
      </c>
      <c r="G70" s="61">
        <v>150</v>
      </c>
      <c r="H70" s="63">
        <v>163.96</v>
      </c>
      <c r="I70" s="63">
        <v>54.54</v>
      </c>
    </row>
    <row r="71" spans="1:9">
      <c r="A71" s="10" t="s">
        <v>100</v>
      </c>
      <c r="B71" s="61" t="s">
        <v>22</v>
      </c>
      <c r="C71" s="61">
        <v>41809</v>
      </c>
      <c r="D71" s="61" t="s">
        <v>939</v>
      </c>
      <c r="E71" s="61" t="s">
        <v>23</v>
      </c>
      <c r="F71" s="61" t="s">
        <v>13</v>
      </c>
      <c r="G71" s="61">
        <v>150</v>
      </c>
      <c r="H71" s="63">
        <v>163.96</v>
      </c>
      <c r="I71" s="63">
        <v>54.54</v>
      </c>
    </row>
    <row r="72" spans="1:9">
      <c r="A72" s="10" t="s">
        <v>237</v>
      </c>
      <c r="B72" s="61" t="s">
        <v>22</v>
      </c>
      <c r="C72" s="61">
        <v>41809</v>
      </c>
      <c r="D72" s="61" t="s">
        <v>939</v>
      </c>
      <c r="E72" s="61" t="s">
        <v>31</v>
      </c>
      <c r="F72" s="61" t="s">
        <v>32</v>
      </c>
      <c r="G72" s="61">
        <v>150</v>
      </c>
      <c r="H72" s="63">
        <v>163.96</v>
      </c>
      <c r="I72" s="63">
        <v>54.54</v>
      </c>
    </row>
    <row r="73" spans="1:9">
      <c r="A73" s="10" t="s">
        <v>244</v>
      </c>
      <c r="B73" s="61" t="s">
        <v>22</v>
      </c>
      <c r="C73" s="61">
        <v>41884</v>
      </c>
      <c r="D73" s="61" t="s">
        <v>939</v>
      </c>
      <c r="E73" s="61" t="s">
        <v>23</v>
      </c>
      <c r="F73" s="61" t="s">
        <v>13</v>
      </c>
      <c r="G73" s="61">
        <v>150</v>
      </c>
      <c r="H73" s="63">
        <v>166.38</v>
      </c>
      <c r="I73" s="63">
        <v>54.71</v>
      </c>
    </row>
    <row r="74" spans="1:9">
      <c r="A74" s="21" t="s">
        <v>347</v>
      </c>
      <c r="B74" s="61" t="s">
        <v>22</v>
      </c>
      <c r="C74" s="61">
        <v>41991</v>
      </c>
      <c r="D74" s="61" t="s">
        <v>939</v>
      </c>
      <c r="E74" s="61" t="s">
        <v>31</v>
      </c>
      <c r="F74" s="61" t="s">
        <v>35</v>
      </c>
      <c r="G74" s="61">
        <v>150</v>
      </c>
      <c r="H74" s="63">
        <v>166.38</v>
      </c>
      <c r="I74" s="63">
        <v>54.71</v>
      </c>
    </row>
    <row r="75" spans="1:9">
      <c r="A75" s="10" t="s">
        <v>104</v>
      </c>
      <c r="B75" s="61" t="s">
        <v>22</v>
      </c>
      <c r="C75" s="61">
        <v>41891</v>
      </c>
      <c r="D75" s="61" t="s">
        <v>939</v>
      </c>
      <c r="E75" s="61" t="s">
        <v>23</v>
      </c>
      <c r="F75" s="61" t="s">
        <v>13</v>
      </c>
      <c r="G75" s="61">
        <v>150</v>
      </c>
      <c r="H75" s="63">
        <v>162.66</v>
      </c>
      <c r="I75" s="63">
        <v>47.48</v>
      </c>
    </row>
    <row r="76" spans="1:9">
      <c r="A76" s="10" t="s">
        <v>84</v>
      </c>
      <c r="B76" s="61" t="s">
        <v>22</v>
      </c>
      <c r="C76" s="61">
        <v>41991</v>
      </c>
      <c r="D76" s="61" t="s">
        <v>939</v>
      </c>
      <c r="E76" s="61" t="s">
        <v>31</v>
      </c>
      <c r="F76" s="61" t="s">
        <v>35</v>
      </c>
      <c r="G76" s="61">
        <v>150</v>
      </c>
      <c r="H76" s="63">
        <v>162.66</v>
      </c>
      <c r="I76" s="63">
        <v>47.48</v>
      </c>
    </row>
    <row r="77" spans="1:9">
      <c r="A77" s="10" t="s">
        <v>106</v>
      </c>
      <c r="B77" s="61" t="s">
        <v>22</v>
      </c>
      <c r="C77" s="61">
        <v>42094</v>
      </c>
      <c r="D77" s="61" t="s">
        <v>939</v>
      </c>
      <c r="E77" s="61" t="s">
        <v>23</v>
      </c>
      <c r="F77" s="61" t="s">
        <v>39</v>
      </c>
      <c r="G77" s="61">
        <v>150</v>
      </c>
      <c r="H77" s="63">
        <v>162.63999999999999</v>
      </c>
      <c r="I77" s="63">
        <v>55.67</v>
      </c>
    </row>
    <row r="78" spans="1:9">
      <c r="A78" s="21" t="s">
        <v>107</v>
      </c>
      <c r="B78" s="61" t="s">
        <v>22</v>
      </c>
      <c r="C78" s="61">
        <v>42101</v>
      </c>
      <c r="D78" s="61" t="s">
        <v>939</v>
      </c>
      <c r="E78" s="61" t="s">
        <v>31</v>
      </c>
      <c r="F78" s="61" t="s">
        <v>35</v>
      </c>
      <c r="G78" s="61">
        <v>150</v>
      </c>
      <c r="H78" s="63">
        <v>162.63999999999999</v>
      </c>
      <c r="I78" s="63">
        <v>55.67</v>
      </c>
    </row>
    <row r="79" spans="1:9">
      <c r="A79" s="10" t="s">
        <v>6</v>
      </c>
      <c r="B79" s="61" t="s">
        <v>22</v>
      </c>
      <c r="C79" s="61">
        <v>42118</v>
      </c>
      <c r="D79" s="61" t="s">
        <v>939</v>
      </c>
      <c r="E79" s="61" t="s">
        <v>23</v>
      </c>
      <c r="F79" s="61" t="s">
        <v>13</v>
      </c>
      <c r="G79" s="61">
        <v>150</v>
      </c>
      <c r="H79" s="63">
        <v>162.63999999999999</v>
      </c>
      <c r="I79" s="63">
        <v>55.67</v>
      </c>
    </row>
    <row r="80" spans="1:9">
      <c r="A80" s="21" t="s">
        <v>108</v>
      </c>
      <c r="B80" s="61" t="s">
        <v>22</v>
      </c>
      <c r="C80" s="61">
        <v>42150</v>
      </c>
      <c r="D80" s="61" t="s">
        <v>939</v>
      </c>
      <c r="E80" s="61" t="s">
        <v>23</v>
      </c>
      <c r="F80" s="61" t="s">
        <v>13</v>
      </c>
      <c r="G80" s="61">
        <v>150</v>
      </c>
      <c r="H80" s="63">
        <v>162.63999999999999</v>
      </c>
      <c r="I80" s="63">
        <v>55.67</v>
      </c>
    </row>
    <row r="81" spans="1:9">
      <c r="A81" s="10" t="s">
        <v>242</v>
      </c>
      <c r="B81" s="61" t="s">
        <v>8</v>
      </c>
      <c r="C81" s="61">
        <v>36412</v>
      </c>
      <c r="D81" s="61" t="s">
        <v>939</v>
      </c>
      <c r="E81" s="61" t="s">
        <v>10</v>
      </c>
      <c r="F81" s="61" t="s">
        <v>9</v>
      </c>
      <c r="G81" s="61">
        <v>150</v>
      </c>
      <c r="H81" s="63">
        <v>104.15</v>
      </c>
      <c r="I81" s="63">
        <v>3.78</v>
      </c>
    </row>
    <row r="82" spans="1:9">
      <c r="A82" s="10" t="s">
        <v>7</v>
      </c>
      <c r="B82" s="61" t="s">
        <v>8</v>
      </c>
      <c r="C82" s="61">
        <v>37406</v>
      </c>
      <c r="D82" s="61" t="s">
        <v>939</v>
      </c>
      <c r="E82" s="61" t="s">
        <v>940</v>
      </c>
      <c r="F82" s="61" t="s">
        <v>9</v>
      </c>
      <c r="G82" s="61">
        <v>150</v>
      </c>
      <c r="H82" s="63">
        <v>179.3</v>
      </c>
      <c r="I82" s="63">
        <v>5.8</v>
      </c>
    </row>
    <row r="83" spans="1:9">
      <c r="A83" s="21" t="s">
        <v>217</v>
      </c>
      <c r="B83" s="61" t="s">
        <v>8</v>
      </c>
      <c r="C83" s="61">
        <v>37636</v>
      </c>
      <c r="D83" s="61" t="s">
        <v>939</v>
      </c>
      <c r="E83" s="61" t="s">
        <v>10</v>
      </c>
      <c r="F83" s="61" t="s">
        <v>9</v>
      </c>
      <c r="G83" s="61">
        <v>150</v>
      </c>
      <c r="H83" s="63">
        <v>179.3</v>
      </c>
      <c r="I83" s="63">
        <v>5.8</v>
      </c>
    </row>
    <row r="84" spans="1:9">
      <c r="A84" s="10" t="s">
        <v>54</v>
      </c>
      <c r="B84" s="61" t="s">
        <v>943</v>
      </c>
      <c r="C84" s="61">
        <v>36945</v>
      </c>
      <c r="D84" s="61" t="s">
        <v>939</v>
      </c>
      <c r="E84" s="61" t="s">
        <v>946</v>
      </c>
      <c r="F84" s="61" t="s">
        <v>947</v>
      </c>
      <c r="G84" s="61">
        <v>70</v>
      </c>
      <c r="H84" s="63">
        <v>8</v>
      </c>
    </row>
    <row r="85" spans="1:9">
      <c r="A85" s="10" t="s">
        <v>112</v>
      </c>
      <c r="B85" s="61" t="s">
        <v>943</v>
      </c>
      <c r="C85" s="61">
        <v>37084</v>
      </c>
      <c r="D85" s="61" t="s">
        <v>939</v>
      </c>
      <c r="E85" s="61" t="s">
        <v>946</v>
      </c>
      <c r="F85" s="61" t="s">
        <v>947</v>
      </c>
      <c r="G85" s="61">
        <v>70</v>
      </c>
      <c r="H85" s="63">
        <v>8</v>
      </c>
    </row>
    <row r="86" spans="1:9">
      <c r="A86" s="29" t="s">
        <v>113</v>
      </c>
      <c r="B86" s="61" t="s">
        <v>943</v>
      </c>
      <c r="C86" s="61">
        <v>37084</v>
      </c>
      <c r="D86" s="61" t="s">
        <v>939</v>
      </c>
      <c r="E86" s="61" t="s">
        <v>946</v>
      </c>
      <c r="F86" s="61" t="s">
        <v>947</v>
      </c>
      <c r="G86" s="61">
        <v>70</v>
      </c>
      <c r="H86" s="63">
        <v>8</v>
      </c>
    </row>
    <row r="87" spans="1:9">
      <c r="A87" s="21" t="s">
        <v>114</v>
      </c>
      <c r="B87" s="61" t="s">
        <v>943</v>
      </c>
      <c r="C87" s="61">
        <v>37298</v>
      </c>
      <c r="D87" s="61" t="s">
        <v>939</v>
      </c>
      <c r="E87" s="61" t="s">
        <v>946</v>
      </c>
      <c r="F87" s="61" t="s">
        <v>947</v>
      </c>
      <c r="G87" s="61">
        <v>70</v>
      </c>
      <c r="H87" s="63">
        <v>8</v>
      </c>
    </row>
    <row r="88" spans="1:9">
      <c r="A88" s="10" t="s">
        <v>115</v>
      </c>
      <c r="B88" s="61" t="s">
        <v>943</v>
      </c>
      <c r="C88" s="61">
        <v>37775</v>
      </c>
      <c r="D88" s="61" t="s">
        <v>939</v>
      </c>
      <c r="E88" s="61" t="s">
        <v>10</v>
      </c>
      <c r="F88" s="61" t="s">
        <v>9</v>
      </c>
      <c r="G88" s="61">
        <v>150</v>
      </c>
      <c r="H88" s="63">
        <v>782.678</v>
      </c>
    </row>
    <row r="89" spans="1:9">
      <c r="A89" s="29" t="s">
        <v>116</v>
      </c>
      <c r="B89" s="61" t="s">
        <v>943</v>
      </c>
      <c r="C89" s="61">
        <v>37775</v>
      </c>
      <c r="D89" s="61" t="s">
        <v>939</v>
      </c>
      <c r="E89" s="61" t="s">
        <v>10</v>
      </c>
      <c r="F89" s="61" t="s">
        <v>9</v>
      </c>
      <c r="G89" s="61">
        <v>150</v>
      </c>
      <c r="H89" s="63">
        <v>782.678</v>
      </c>
    </row>
    <row r="90" spans="1:9">
      <c r="A90" s="21" t="s">
        <v>117</v>
      </c>
      <c r="B90" s="61" t="s">
        <v>943</v>
      </c>
      <c r="C90" s="61">
        <v>37775</v>
      </c>
      <c r="D90" s="61" t="s">
        <v>939</v>
      </c>
      <c r="E90" s="61" t="s">
        <v>10</v>
      </c>
      <c r="F90" s="61" t="s">
        <v>9</v>
      </c>
      <c r="G90" s="61">
        <v>150</v>
      </c>
      <c r="H90" s="63">
        <v>782.678</v>
      </c>
    </row>
    <row r="91" spans="1:9">
      <c r="A91" s="21" t="s">
        <v>118</v>
      </c>
      <c r="B91" s="61" t="s">
        <v>943</v>
      </c>
      <c r="C91" s="61">
        <v>37775</v>
      </c>
      <c r="D91" s="61" t="s">
        <v>939</v>
      </c>
      <c r="E91" s="61" t="s">
        <v>10</v>
      </c>
      <c r="F91" s="61" t="s">
        <v>9</v>
      </c>
      <c r="G91" s="61">
        <v>150</v>
      </c>
      <c r="H91" s="63">
        <v>782.678</v>
      </c>
    </row>
    <row r="92" spans="1:9">
      <c r="A92" s="29" t="s">
        <v>119</v>
      </c>
      <c r="B92" s="61" t="s">
        <v>8</v>
      </c>
      <c r="C92" s="61">
        <v>35121</v>
      </c>
      <c r="D92" s="61" t="s">
        <v>939</v>
      </c>
      <c r="E92" s="61" t="s">
        <v>10</v>
      </c>
      <c r="F92" s="61" t="s">
        <v>9</v>
      </c>
      <c r="G92" s="61">
        <v>150</v>
      </c>
      <c r="H92" s="63">
        <v>166.36</v>
      </c>
      <c r="I92" s="63">
        <v>3.18</v>
      </c>
    </row>
    <row r="93" spans="1:9">
      <c r="A93" s="29" t="s">
        <v>120</v>
      </c>
      <c r="B93" s="61" t="s">
        <v>8</v>
      </c>
      <c r="C93" s="61">
        <v>35820</v>
      </c>
      <c r="D93" s="61" t="s">
        <v>939</v>
      </c>
      <c r="E93" s="61" t="s">
        <v>10</v>
      </c>
      <c r="F93" s="61" t="s">
        <v>9</v>
      </c>
      <c r="G93" s="61">
        <v>150</v>
      </c>
      <c r="H93" s="63">
        <v>166.36</v>
      </c>
      <c r="I93" s="63">
        <v>3.18</v>
      </c>
    </row>
    <row r="94" spans="1:9">
      <c r="A94" s="10" t="s">
        <v>121</v>
      </c>
      <c r="B94" s="61" t="s">
        <v>8</v>
      </c>
      <c r="C94" s="61">
        <v>35950</v>
      </c>
      <c r="D94" s="61" t="s">
        <v>939</v>
      </c>
      <c r="E94" s="61" t="s">
        <v>10</v>
      </c>
      <c r="F94" s="61" t="s">
        <v>9</v>
      </c>
      <c r="G94" s="61">
        <v>150</v>
      </c>
      <c r="H94" s="63">
        <v>166.36</v>
      </c>
      <c r="I94" s="63">
        <v>3.18</v>
      </c>
    </row>
    <row r="95" spans="1:9">
      <c r="A95" s="10" t="s">
        <v>291</v>
      </c>
      <c r="B95" s="61" t="s">
        <v>8</v>
      </c>
      <c r="C95" s="61">
        <v>36371</v>
      </c>
      <c r="D95" s="61" t="s">
        <v>939</v>
      </c>
      <c r="E95" s="61" t="s">
        <v>10</v>
      </c>
      <c r="F95" s="61" t="s">
        <v>9</v>
      </c>
      <c r="G95" s="61">
        <v>70</v>
      </c>
      <c r="H95" s="63">
        <v>164.68</v>
      </c>
      <c r="I95" s="63">
        <v>3.82</v>
      </c>
    </row>
    <row r="96" spans="1:9">
      <c r="A96" s="10" t="s">
        <v>193</v>
      </c>
      <c r="B96" s="61" t="s">
        <v>8</v>
      </c>
      <c r="C96" s="61">
        <v>36712</v>
      </c>
      <c r="D96" s="61" t="s">
        <v>939</v>
      </c>
      <c r="E96" s="61" t="s">
        <v>10</v>
      </c>
      <c r="F96" s="61" t="s">
        <v>9</v>
      </c>
      <c r="G96" s="61">
        <v>150</v>
      </c>
      <c r="H96" s="63">
        <v>164.68</v>
      </c>
      <c r="I96" s="63">
        <v>3.82</v>
      </c>
    </row>
    <row r="97" spans="1:9">
      <c r="A97" s="10" t="s">
        <v>325</v>
      </c>
      <c r="B97" s="61" t="s">
        <v>8</v>
      </c>
      <c r="C97" s="61">
        <v>36878</v>
      </c>
      <c r="D97" s="61" t="s">
        <v>939</v>
      </c>
      <c r="E97" s="61" t="s">
        <v>10</v>
      </c>
      <c r="F97" s="61" t="s">
        <v>9</v>
      </c>
      <c r="G97" s="61">
        <v>150</v>
      </c>
      <c r="H97" s="63">
        <v>164.68</v>
      </c>
      <c r="I97" s="63">
        <v>3.82</v>
      </c>
    </row>
    <row r="98" spans="1:9">
      <c r="A98" s="21" t="s">
        <v>125</v>
      </c>
      <c r="B98" s="61" t="s">
        <v>8</v>
      </c>
      <c r="C98" s="61">
        <v>36895</v>
      </c>
      <c r="D98" s="61" t="s">
        <v>939</v>
      </c>
      <c r="E98" s="61" t="s">
        <v>10</v>
      </c>
      <c r="F98" s="61" t="s">
        <v>9</v>
      </c>
      <c r="G98" s="61">
        <v>150</v>
      </c>
      <c r="H98" s="63">
        <v>164.68</v>
      </c>
      <c r="I98" s="63">
        <v>3.18</v>
      </c>
    </row>
    <row r="99" spans="1:9">
      <c r="A99" s="10" t="s">
        <v>126</v>
      </c>
      <c r="B99" s="61" t="s">
        <v>8</v>
      </c>
      <c r="C99" s="61">
        <v>35530</v>
      </c>
      <c r="D99" s="61" t="s">
        <v>939</v>
      </c>
      <c r="E99" s="61" t="s">
        <v>10</v>
      </c>
      <c r="F99" s="61" t="s">
        <v>9</v>
      </c>
      <c r="G99" s="61">
        <v>150</v>
      </c>
      <c r="H99" s="63">
        <v>164.81</v>
      </c>
      <c r="I99" s="63">
        <v>13.16</v>
      </c>
    </row>
    <row r="100" spans="1:9">
      <c r="A100" s="10" t="s">
        <v>43</v>
      </c>
      <c r="B100" s="61" t="s">
        <v>8</v>
      </c>
      <c r="C100" s="61">
        <v>37753</v>
      </c>
      <c r="D100" s="61" t="s">
        <v>939</v>
      </c>
      <c r="E100" s="61" t="s">
        <v>10</v>
      </c>
      <c r="F100" s="61" t="s">
        <v>9</v>
      </c>
      <c r="G100" s="61">
        <v>150</v>
      </c>
      <c r="H100" s="63">
        <v>163.99</v>
      </c>
      <c r="I100" s="63">
        <v>4.1399999999999997</v>
      </c>
    </row>
    <row r="101" spans="1:9">
      <c r="A101" s="21" t="s">
        <v>184</v>
      </c>
      <c r="B101" s="61" t="s">
        <v>8</v>
      </c>
      <c r="C101" s="61">
        <v>38315</v>
      </c>
      <c r="D101" s="61" t="s">
        <v>939</v>
      </c>
      <c r="E101" s="61" t="s">
        <v>10</v>
      </c>
      <c r="F101" s="61" t="s">
        <v>9</v>
      </c>
      <c r="G101" s="61">
        <v>150</v>
      </c>
      <c r="H101" s="63">
        <v>180.17</v>
      </c>
      <c r="I101" s="63">
        <v>4.1399999999999997</v>
      </c>
    </row>
    <row r="102" spans="1:9">
      <c r="A102" s="10" t="s">
        <v>129</v>
      </c>
      <c r="B102" s="61" t="s">
        <v>8</v>
      </c>
      <c r="C102" s="61">
        <v>38756</v>
      </c>
      <c r="D102" s="61" t="s">
        <v>939</v>
      </c>
      <c r="E102" s="61" t="s">
        <v>940</v>
      </c>
      <c r="F102" s="61" t="s">
        <v>9</v>
      </c>
      <c r="G102" s="61">
        <v>150</v>
      </c>
      <c r="H102" s="63">
        <v>180.17</v>
      </c>
      <c r="I102" s="63">
        <v>4.1399999999999997</v>
      </c>
    </row>
    <row r="103" spans="1:9">
      <c r="A103" s="10" t="s">
        <v>130</v>
      </c>
      <c r="B103" s="61" t="s">
        <v>8</v>
      </c>
      <c r="C103" s="61">
        <v>37789</v>
      </c>
      <c r="D103" s="61" t="s">
        <v>939</v>
      </c>
      <c r="E103" s="61" t="s">
        <v>10</v>
      </c>
      <c r="F103" s="61" t="s">
        <v>9</v>
      </c>
      <c r="G103" s="61">
        <v>70</v>
      </c>
      <c r="H103" s="63">
        <v>152.20500000000001</v>
      </c>
      <c r="I103" s="63">
        <v>3.54</v>
      </c>
    </row>
    <row r="104" spans="1:9">
      <c r="A104" s="21" t="s">
        <v>131</v>
      </c>
      <c r="B104" s="61" t="s">
        <v>8</v>
      </c>
      <c r="C104" s="61">
        <v>38254</v>
      </c>
      <c r="D104" s="61" t="s">
        <v>939</v>
      </c>
      <c r="E104" s="61" t="s">
        <v>10</v>
      </c>
      <c r="F104" s="61" t="s">
        <v>9</v>
      </c>
      <c r="G104" s="61">
        <v>70</v>
      </c>
      <c r="H104" s="63">
        <v>194.78</v>
      </c>
      <c r="I104" s="63">
        <v>6.19</v>
      </c>
    </row>
    <row r="105" spans="1:9">
      <c r="A105" s="10" t="s">
        <v>132</v>
      </c>
      <c r="B105" s="61" t="s">
        <v>8</v>
      </c>
      <c r="C105" s="61">
        <v>38643</v>
      </c>
      <c r="D105" s="61" t="s">
        <v>939</v>
      </c>
      <c r="E105" s="61" t="s">
        <v>10</v>
      </c>
      <c r="F105" s="61" t="s">
        <v>9</v>
      </c>
      <c r="G105" s="61">
        <v>150</v>
      </c>
      <c r="H105" s="63">
        <v>194.78</v>
      </c>
      <c r="I105" s="63">
        <v>6.19</v>
      </c>
    </row>
    <row r="106" spans="1:9">
      <c r="A106" s="29" t="s">
        <v>133</v>
      </c>
      <c r="B106" s="61" t="s">
        <v>8</v>
      </c>
      <c r="C106" s="61">
        <v>39644</v>
      </c>
      <c r="D106" s="61" t="s">
        <v>939</v>
      </c>
      <c r="E106" s="61" t="s">
        <v>12</v>
      </c>
      <c r="F106" s="61" t="s">
        <v>13</v>
      </c>
      <c r="G106" s="61">
        <v>150</v>
      </c>
      <c r="H106" s="63">
        <v>191.41</v>
      </c>
      <c r="I106" s="63">
        <v>6.19</v>
      </c>
    </row>
    <row r="107" spans="1:9">
      <c r="A107" s="38" t="s">
        <v>134</v>
      </c>
      <c r="B107" s="61" t="s">
        <v>8</v>
      </c>
      <c r="C107" s="61">
        <v>39647</v>
      </c>
      <c r="D107" s="61" t="s">
        <v>939</v>
      </c>
      <c r="E107" s="61" t="s">
        <v>16</v>
      </c>
      <c r="F107" s="61" t="s">
        <v>9</v>
      </c>
      <c r="G107" s="61">
        <v>150</v>
      </c>
      <c r="H107" s="63">
        <v>191.41</v>
      </c>
      <c r="I107" s="63">
        <v>6.19</v>
      </c>
    </row>
    <row r="108" spans="1:9">
      <c r="A108" s="10" t="s">
        <v>135</v>
      </c>
      <c r="B108" s="61" t="s">
        <v>8</v>
      </c>
      <c r="C108" s="61">
        <v>40351</v>
      </c>
      <c r="D108" s="61" t="s">
        <v>939</v>
      </c>
      <c r="E108" s="61" t="s">
        <v>44</v>
      </c>
      <c r="F108" s="61" t="s">
        <v>13</v>
      </c>
      <c r="G108" s="61">
        <v>150</v>
      </c>
      <c r="H108" s="63">
        <v>191.41</v>
      </c>
      <c r="I108" s="63">
        <v>6.19</v>
      </c>
    </row>
    <row r="109" spans="1:9">
      <c r="A109" s="29" t="s">
        <v>136</v>
      </c>
      <c r="B109" s="61" t="s">
        <v>8</v>
      </c>
      <c r="C109" s="61">
        <v>41359</v>
      </c>
      <c r="D109" s="61" t="s">
        <v>939</v>
      </c>
      <c r="E109" s="61" t="s">
        <v>948</v>
      </c>
      <c r="F109" s="61" t="s">
        <v>949</v>
      </c>
      <c r="G109" s="61">
        <v>150</v>
      </c>
      <c r="H109" s="63">
        <v>191.41</v>
      </c>
      <c r="I109" s="63">
        <v>6.19</v>
      </c>
    </row>
    <row r="110" spans="1:9">
      <c r="A110" s="21" t="s">
        <v>137</v>
      </c>
      <c r="B110" s="61" t="s">
        <v>8</v>
      </c>
      <c r="C110" s="61">
        <v>41667</v>
      </c>
      <c r="D110" s="61" t="s">
        <v>939</v>
      </c>
      <c r="E110" s="61" t="s">
        <v>942</v>
      </c>
      <c r="F110" s="61" t="s">
        <v>942</v>
      </c>
      <c r="G110" s="61">
        <v>150</v>
      </c>
    </row>
    <row r="111" spans="1:9">
      <c r="A111" s="21" t="s">
        <v>138</v>
      </c>
      <c r="B111" s="61" t="s">
        <v>8</v>
      </c>
      <c r="C111" s="61">
        <v>41479</v>
      </c>
      <c r="D111" s="61" t="s">
        <v>939</v>
      </c>
      <c r="E111" s="61" t="s">
        <v>44</v>
      </c>
      <c r="F111" s="61" t="s">
        <v>13</v>
      </c>
      <c r="G111" s="61">
        <v>150</v>
      </c>
      <c r="H111" s="63">
        <v>218.83</v>
      </c>
      <c r="I111" s="63">
        <v>6.19</v>
      </c>
    </row>
    <row r="112" spans="1:9">
      <c r="A112" s="21" t="s">
        <v>139</v>
      </c>
      <c r="B112" s="61" t="s">
        <v>8</v>
      </c>
      <c r="C112" s="61">
        <v>41479</v>
      </c>
      <c r="D112" s="61" t="s">
        <v>939</v>
      </c>
      <c r="E112" s="61" t="s">
        <v>44</v>
      </c>
      <c r="F112" s="61" t="s">
        <v>13</v>
      </c>
      <c r="G112" s="61">
        <v>150</v>
      </c>
      <c r="H112" s="63">
        <v>167.93</v>
      </c>
      <c r="I112" s="63">
        <v>6.19</v>
      </c>
    </row>
    <row r="113" spans="1:9">
      <c r="A113" s="21" t="s">
        <v>140</v>
      </c>
      <c r="B113" s="61" t="s">
        <v>8</v>
      </c>
      <c r="C113" s="61">
        <v>36812</v>
      </c>
      <c r="D113" s="61" t="s">
        <v>939</v>
      </c>
      <c r="E113" s="61" t="s">
        <v>940</v>
      </c>
      <c r="F113" s="61" t="s">
        <v>9</v>
      </c>
      <c r="G113" s="61">
        <v>70</v>
      </c>
      <c r="H113" s="63">
        <v>166.08</v>
      </c>
      <c r="I113" s="63">
        <v>7.58</v>
      </c>
    </row>
    <row r="114" spans="1:9">
      <c r="A114" s="21" t="s">
        <v>141</v>
      </c>
      <c r="B114" s="61" t="s">
        <v>8</v>
      </c>
      <c r="C114" s="61">
        <v>36872</v>
      </c>
      <c r="D114" s="61" t="s">
        <v>939</v>
      </c>
      <c r="E114" s="61" t="s">
        <v>940</v>
      </c>
      <c r="F114" s="61" t="s">
        <v>9</v>
      </c>
      <c r="G114" s="61">
        <v>70</v>
      </c>
      <c r="H114" s="63">
        <v>166.08</v>
      </c>
      <c r="I114" s="63">
        <v>7.58</v>
      </c>
    </row>
    <row r="115" spans="1:9">
      <c r="A115" s="21" t="s">
        <v>142</v>
      </c>
      <c r="B115" s="61" t="s">
        <v>8</v>
      </c>
      <c r="C115" s="61">
        <v>36928</v>
      </c>
      <c r="D115" s="61" t="s">
        <v>939</v>
      </c>
      <c r="E115" s="61" t="s">
        <v>10</v>
      </c>
      <c r="F115" s="61" t="s">
        <v>9</v>
      </c>
      <c r="G115" s="61">
        <v>70</v>
      </c>
      <c r="H115" s="63">
        <v>166.08</v>
      </c>
      <c r="I115" s="63">
        <v>7.58</v>
      </c>
    </row>
    <row r="116" spans="1:9">
      <c r="A116" s="21" t="s">
        <v>143</v>
      </c>
      <c r="B116" s="61" t="s">
        <v>8</v>
      </c>
      <c r="C116" s="61">
        <v>37039</v>
      </c>
      <c r="D116" s="61" t="s">
        <v>939</v>
      </c>
      <c r="E116" s="61" t="s">
        <v>10</v>
      </c>
      <c r="F116" s="61" t="s">
        <v>9</v>
      </c>
      <c r="G116" s="61">
        <v>70</v>
      </c>
      <c r="H116" s="63">
        <v>166.08</v>
      </c>
      <c r="I116" s="63">
        <v>28.75</v>
      </c>
    </row>
    <row r="117" spans="1:9">
      <c r="A117" s="21" t="s">
        <v>211</v>
      </c>
      <c r="B117" s="61" t="s">
        <v>8</v>
      </c>
      <c r="C117" s="61">
        <v>37279</v>
      </c>
      <c r="D117" s="61" t="s">
        <v>939</v>
      </c>
      <c r="E117" s="61" t="s">
        <v>10</v>
      </c>
      <c r="F117" s="61" t="s">
        <v>9</v>
      </c>
      <c r="G117" s="61">
        <v>70</v>
      </c>
      <c r="H117" s="63">
        <v>166.08</v>
      </c>
      <c r="I117" s="63">
        <v>28.75</v>
      </c>
    </row>
    <row r="118" spans="1:9">
      <c r="A118" s="10" t="s">
        <v>327</v>
      </c>
      <c r="B118" s="61" t="s">
        <v>8</v>
      </c>
      <c r="C118" s="61">
        <v>38562</v>
      </c>
      <c r="D118" s="61" t="s">
        <v>939</v>
      </c>
      <c r="E118" s="61" t="s">
        <v>940</v>
      </c>
      <c r="F118" s="61" t="s">
        <v>9</v>
      </c>
      <c r="G118" s="61">
        <v>150</v>
      </c>
      <c r="H118" s="63">
        <v>173.57</v>
      </c>
      <c r="I118" s="63">
        <v>2.0110000000000001</v>
      </c>
    </row>
    <row r="119" spans="1:9">
      <c r="A119" s="10" t="s">
        <v>146</v>
      </c>
      <c r="B119" s="61" t="s">
        <v>22</v>
      </c>
      <c r="C119" s="61">
        <v>39177</v>
      </c>
      <c r="D119" s="61" t="s">
        <v>939</v>
      </c>
      <c r="E119" s="61" t="s">
        <v>10</v>
      </c>
      <c r="F119" s="61" t="s">
        <v>9</v>
      </c>
      <c r="G119" s="61">
        <v>150</v>
      </c>
      <c r="H119" s="63">
        <v>177.41</v>
      </c>
      <c r="I119" s="63">
        <v>57.51</v>
      </c>
    </row>
    <row r="120" spans="1:9">
      <c r="A120" s="10" t="s">
        <v>147</v>
      </c>
      <c r="B120" s="61" t="s">
        <v>22</v>
      </c>
      <c r="C120" s="61">
        <v>39177</v>
      </c>
      <c r="D120" s="61" t="s">
        <v>939</v>
      </c>
      <c r="E120" s="61" t="s">
        <v>10</v>
      </c>
      <c r="F120" s="61" t="s">
        <v>9</v>
      </c>
      <c r="G120" s="61">
        <v>150</v>
      </c>
      <c r="H120" s="63">
        <v>177.41</v>
      </c>
      <c r="I120" s="63">
        <v>63.06</v>
      </c>
    </row>
    <row r="121" spans="1:9">
      <c r="A121" s="10" t="s">
        <v>148</v>
      </c>
      <c r="B121" s="61" t="s">
        <v>22</v>
      </c>
      <c r="C121" s="61">
        <v>39367</v>
      </c>
      <c r="D121" s="61" t="s">
        <v>939</v>
      </c>
      <c r="E121" s="61" t="s">
        <v>10</v>
      </c>
      <c r="F121" s="61" t="s">
        <v>9</v>
      </c>
      <c r="G121" s="61">
        <v>150</v>
      </c>
      <c r="H121" s="63">
        <v>177.41</v>
      </c>
      <c r="I121" s="63">
        <v>65.3</v>
      </c>
    </row>
    <row r="122" spans="1:9">
      <c r="A122" s="10" t="s">
        <v>149</v>
      </c>
      <c r="B122" s="61" t="s">
        <v>22</v>
      </c>
      <c r="C122" s="61">
        <v>39367</v>
      </c>
      <c r="D122" s="61" t="s">
        <v>939</v>
      </c>
      <c r="E122" s="61" t="s">
        <v>10</v>
      </c>
      <c r="F122" s="61" t="s">
        <v>9</v>
      </c>
      <c r="G122" s="61">
        <v>150</v>
      </c>
      <c r="H122" s="63">
        <v>177.41</v>
      </c>
      <c r="I122" s="63">
        <v>72.510000000000005</v>
      </c>
    </row>
    <row r="123" spans="1:9">
      <c r="A123" s="10" t="s">
        <v>150</v>
      </c>
      <c r="B123" s="61" t="s">
        <v>22</v>
      </c>
      <c r="C123" s="61">
        <v>39482</v>
      </c>
      <c r="D123" s="61" t="s">
        <v>939</v>
      </c>
      <c r="E123" s="61" t="s">
        <v>10</v>
      </c>
      <c r="F123" s="61" t="s">
        <v>9</v>
      </c>
      <c r="G123" s="61">
        <v>150</v>
      </c>
      <c r="H123" s="63">
        <v>177.41</v>
      </c>
      <c r="I123" s="63">
        <v>65.3</v>
      </c>
    </row>
    <row r="124" spans="1:9">
      <c r="A124" s="10" t="s">
        <v>2</v>
      </c>
      <c r="B124" s="61" t="s">
        <v>22</v>
      </c>
      <c r="C124" s="61">
        <v>39482</v>
      </c>
      <c r="D124" s="61" t="s">
        <v>939</v>
      </c>
      <c r="E124" s="61" t="s">
        <v>10</v>
      </c>
      <c r="F124" s="61" t="s">
        <v>9</v>
      </c>
      <c r="G124" s="61">
        <v>150</v>
      </c>
      <c r="H124" s="63">
        <v>177.41</v>
      </c>
      <c r="I124" s="63">
        <v>72.510000000000005</v>
      </c>
    </row>
    <row r="125" spans="1:9">
      <c r="A125" s="10" t="s">
        <v>152</v>
      </c>
      <c r="B125" s="61" t="s">
        <v>22</v>
      </c>
      <c r="C125" s="61">
        <v>39919</v>
      </c>
      <c r="D125" s="61" t="s">
        <v>939</v>
      </c>
      <c r="E125" s="61" t="s">
        <v>10</v>
      </c>
      <c r="F125" s="61" t="s">
        <v>9</v>
      </c>
      <c r="G125" s="61">
        <v>150</v>
      </c>
      <c r="H125" s="63">
        <v>177.41</v>
      </c>
      <c r="I125" s="63">
        <v>65.3</v>
      </c>
    </row>
    <row r="126" spans="1:9">
      <c r="A126" s="10" t="s">
        <v>153</v>
      </c>
      <c r="B126" s="61" t="s">
        <v>22</v>
      </c>
      <c r="C126" s="61">
        <v>39609</v>
      </c>
      <c r="D126" s="61" t="s">
        <v>939</v>
      </c>
      <c r="E126" s="61" t="s">
        <v>10</v>
      </c>
      <c r="F126" s="61" t="s">
        <v>9</v>
      </c>
      <c r="G126" s="61">
        <v>150</v>
      </c>
      <c r="H126" s="63">
        <v>177.41</v>
      </c>
      <c r="I126" s="63">
        <v>69.42</v>
      </c>
    </row>
    <row r="127" spans="1:9">
      <c r="A127" s="10" t="s">
        <v>154</v>
      </c>
      <c r="B127" s="61" t="s">
        <v>22</v>
      </c>
      <c r="C127" s="61">
        <v>39636</v>
      </c>
      <c r="D127" s="61" t="s">
        <v>939</v>
      </c>
      <c r="E127" s="61" t="s">
        <v>45</v>
      </c>
      <c r="F127" s="61" t="s">
        <v>14</v>
      </c>
      <c r="G127" s="61">
        <v>150</v>
      </c>
      <c r="H127" s="63">
        <v>177.41</v>
      </c>
      <c r="I127" s="63">
        <v>69.42</v>
      </c>
    </row>
    <row r="128" spans="1:9">
      <c r="A128" s="10" t="s">
        <v>155</v>
      </c>
      <c r="B128" s="61" t="s">
        <v>22</v>
      </c>
      <c r="C128" s="61">
        <v>39919</v>
      </c>
      <c r="D128" s="61" t="s">
        <v>939</v>
      </c>
      <c r="E128" s="61" t="s">
        <v>10</v>
      </c>
      <c r="F128" s="61" t="s">
        <v>9</v>
      </c>
      <c r="G128" s="61">
        <v>150</v>
      </c>
      <c r="H128" s="63">
        <v>177.41</v>
      </c>
      <c r="I128" s="63">
        <v>69.42</v>
      </c>
    </row>
    <row r="129" spans="1:9">
      <c r="A129" s="10" t="s">
        <v>156</v>
      </c>
      <c r="B129" s="61" t="s">
        <v>22</v>
      </c>
      <c r="C129" s="61">
        <v>39919</v>
      </c>
      <c r="D129" s="61" t="s">
        <v>939</v>
      </c>
      <c r="E129" s="61" t="s">
        <v>23</v>
      </c>
      <c r="F129" s="61" t="s">
        <v>13</v>
      </c>
      <c r="G129" s="61">
        <v>150</v>
      </c>
      <c r="H129" s="63">
        <v>177.41</v>
      </c>
      <c r="I129" s="63">
        <v>69.42</v>
      </c>
    </row>
    <row r="130" spans="1:9">
      <c r="A130" s="10" t="s">
        <v>157</v>
      </c>
      <c r="B130" s="61" t="s">
        <v>22</v>
      </c>
      <c r="C130" s="61">
        <v>40571</v>
      </c>
      <c r="D130" s="61" t="s">
        <v>939</v>
      </c>
      <c r="E130" s="61" t="s">
        <v>23</v>
      </c>
      <c r="F130" s="61" t="s">
        <v>13</v>
      </c>
      <c r="G130" s="61">
        <v>150</v>
      </c>
      <c r="H130" s="63">
        <v>177.41</v>
      </c>
      <c r="I130" s="63">
        <v>69.42</v>
      </c>
    </row>
    <row r="131" spans="1:9">
      <c r="A131" s="10" t="s">
        <v>158</v>
      </c>
      <c r="B131" s="61" t="s">
        <v>22</v>
      </c>
      <c r="C131" s="61">
        <v>41585</v>
      </c>
      <c r="D131" s="61" t="s">
        <v>939</v>
      </c>
      <c r="E131" s="61" t="s">
        <v>23</v>
      </c>
      <c r="F131" s="61" t="s">
        <v>13</v>
      </c>
      <c r="G131" s="61">
        <v>150</v>
      </c>
      <c r="H131" s="63">
        <v>177.41</v>
      </c>
      <c r="I131" s="63">
        <v>69.42</v>
      </c>
    </row>
    <row r="132" spans="1:9">
      <c r="A132" s="10" t="s">
        <v>159</v>
      </c>
      <c r="B132" s="61" t="s">
        <v>22</v>
      </c>
      <c r="C132" s="61">
        <v>41585</v>
      </c>
      <c r="D132" s="61" t="s">
        <v>939</v>
      </c>
      <c r="E132" s="61" t="s">
        <v>23</v>
      </c>
      <c r="F132" s="61" t="s">
        <v>13</v>
      </c>
      <c r="G132" s="61">
        <v>150</v>
      </c>
      <c r="H132" s="63">
        <v>177.41</v>
      </c>
      <c r="I132" s="63">
        <v>69.42</v>
      </c>
    </row>
    <row r="133" spans="1:9">
      <c r="A133" s="10" t="s">
        <v>160</v>
      </c>
      <c r="B133" s="61" t="s">
        <v>22</v>
      </c>
      <c r="C133" s="61">
        <v>41647</v>
      </c>
      <c r="D133" s="61" t="s">
        <v>939</v>
      </c>
      <c r="E133" s="61" t="s">
        <v>23</v>
      </c>
      <c r="F133" s="61" t="s">
        <v>13</v>
      </c>
      <c r="G133" s="61">
        <v>150</v>
      </c>
      <c r="H133" s="63">
        <v>177.06</v>
      </c>
      <c r="I133" s="63">
        <v>71.599999999999994</v>
      </c>
    </row>
    <row r="134" spans="1:9">
      <c r="A134" s="10" t="s">
        <v>161</v>
      </c>
      <c r="B134" s="61" t="s">
        <v>22</v>
      </c>
      <c r="C134" s="61">
        <v>41647</v>
      </c>
      <c r="D134" s="61" t="s">
        <v>939</v>
      </c>
      <c r="E134" s="61" t="s">
        <v>23</v>
      </c>
      <c r="F134" s="61" t="s">
        <v>13</v>
      </c>
      <c r="G134" s="61">
        <v>150</v>
      </c>
      <c r="H134" s="63">
        <v>177.06</v>
      </c>
      <c r="I134" s="63">
        <v>71.599999999999994</v>
      </c>
    </row>
    <row r="135" spans="1:9">
      <c r="A135" s="10" t="s">
        <v>162</v>
      </c>
      <c r="B135" s="61" t="s">
        <v>8</v>
      </c>
      <c r="C135" s="61">
        <v>39346</v>
      </c>
      <c r="D135" s="61" t="s">
        <v>939</v>
      </c>
      <c r="E135" s="61" t="s">
        <v>19</v>
      </c>
      <c r="F135" s="61" t="s">
        <v>14</v>
      </c>
      <c r="G135" s="61">
        <v>150</v>
      </c>
      <c r="H135" s="63">
        <v>180.02</v>
      </c>
      <c r="I135" s="63">
        <v>2.4</v>
      </c>
    </row>
    <row r="136" spans="1:9">
      <c r="A136" s="10" t="s">
        <v>163</v>
      </c>
      <c r="B136" s="61" t="s">
        <v>8</v>
      </c>
      <c r="C136" s="61">
        <v>39482</v>
      </c>
      <c r="D136" s="61" t="s">
        <v>939</v>
      </c>
      <c r="E136" s="61" t="s">
        <v>19</v>
      </c>
      <c r="F136" s="61" t="s">
        <v>14</v>
      </c>
      <c r="G136" s="61">
        <v>150</v>
      </c>
      <c r="H136" s="63">
        <v>180.02</v>
      </c>
      <c r="I136" s="63">
        <v>2.4</v>
      </c>
    </row>
    <row r="137" spans="1:9">
      <c r="A137" s="10" t="s">
        <v>164</v>
      </c>
      <c r="B137" s="61" t="s">
        <v>8</v>
      </c>
      <c r="C137" s="61">
        <v>40247</v>
      </c>
      <c r="D137" s="61" t="s">
        <v>939</v>
      </c>
      <c r="E137" s="61" t="s">
        <v>12</v>
      </c>
      <c r="F137" s="61" t="s">
        <v>13</v>
      </c>
      <c r="G137" s="61">
        <v>150</v>
      </c>
      <c r="H137" s="63">
        <v>180.02</v>
      </c>
      <c r="I137" s="63">
        <v>2.4</v>
      </c>
    </row>
    <row r="138" spans="1:9">
      <c r="A138" s="10" t="s">
        <v>165</v>
      </c>
      <c r="B138" s="61" t="s">
        <v>8</v>
      </c>
      <c r="C138" s="61">
        <v>41585</v>
      </c>
      <c r="D138" s="61" t="s">
        <v>939</v>
      </c>
      <c r="E138" s="61" t="s">
        <v>19</v>
      </c>
      <c r="F138" s="61" t="s">
        <v>14</v>
      </c>
      <c r="G138" s="61">
        <v>150</v>
      </c>
      <c r="H138" s="63">
        <v>180.02</v>
      </c>
      <c r="I138" s="63">
        <v>2.4</v>
      </c>
    </row>
    <row r="139" spans="1:9">
      <c r="A139" s="10" t="s">
        <v>166</v>
      </c>
      <c r="B139" s="61" t="s">
        <v>8</v>
      </c>
      <c r="C139" s="61">
        <v>41585</v>
      </c>
      <c r="D139" s="61" t="s">
        <v>939</v>
      </c>
      <c r="E139" s="61" t="s">
        <v>12</v>
      </c>
      <c r="F139" s="61" t="s">
        <v>13</v>
      </c>
      <c r="G139" s="61">
        <v>150</v>
      </c>
      <c r="H139" s="63">
        <v>180.02</v>
      </c>
      <c r="I139" s="63">
        <v>2.4</v>
      </c>
    </row>
    <row r="140" spans="1:9">
      <c r="A140" s="10" t="s">
        <v>167</v>
      </c>
      <c r="B140" s="61" t="s">
        <v>18</v>
      </c>
      <c r="C140" s="61">
        <v>40051</v>
      </c>
      <c r="D140" s="61" t="s">
        <v>939</v>
      </c>
      <c r="E140" s="61" t="s">
        <v>26</v>
      </c>
      <c r="F140" s="61" t="s">
        <v>14</v>
      </c>
      <c r="G140" s="61">
        <v>150</v>
      </c>
      <c r="H140" s="63">
        <v>48.29</v>
      </c>
      <c r="I140" s="63">
        <v>0</v>
      </c>
    </row>
    <row r="141" spans="1:9">
      <c r="A141" s="21" t="s">
        <v>168</v>
      </c>
      <c r="B141" s="61" t="s">
        <v>18</v>
      </c>
      <c r="C141" s="61">
        <v>40252</v>
      </c>
      <c r="D141" s="61" t="s">
        <v>939</v>
      </c>
      <c r="E141" s="61" t="s">
        <v>26</v>
      </c>
      <c r="F141" s="61" t="s">
        <v>14</v>
      </c>
      <c r="G141" s="61">
        <v>150</v>
      </c>
      <c r="H141" s="63">
        <v>49.18</v>
      </c>
      <c r="I141" s="63">
        <v>0</v>
      </c>
    </row>
    <row r="142" spans="1:9">
      <c r="A142" s="10" t="s">
        <v>281</v>
      </c>
      <c r="B142" s="61" t="s">
        <v>18</v>
      </c>
      <c r="C142" s="61">
        <v>40252</v>
      </c>
      <c r="D142" s="61" t="s">
        <v>939</v>
      </c>
      <c r="E142" s="61" t="s">
        <v>26</v>
      </c>
      <c r="F142" s="61" t="s">
        <v>14</v>
      </c>
      <c r="G142" s="61">
        <v>150</v>
      </c>
      <c r="H142" s="63">
        <v>49.18</v>
      </c>
      <c r="I142" s="63">
        <v>0</v>
      </c>
    </row>
    <row r="143" spans="1:9">
      <c r="A143" s="21" t="s">
        <v>170</v>
      </c>
      <c r="B143" s="61" t="s">
        <v>18</v>
      </c>
      <c r="C143" s="61">
        <v>40448</v>
      </c>
      <c r="D143" s="61" t="s">
        <v>939</v>
      </c>
      <c r="E143" s="61" t="s">
        <v>26</v>
      </c>
      <c r="F143" s="61" t="s">
        <v>14</v>
      </c>
      <c r="G143" s="61">
        <v>150</v>
      </c>
      <c r="H143" s="63">
        <v>49.18</v>
      </c>
      <c r="I143" s="63">
        <v>0</v>
      </c>
    </row>
    <row r="144" spans="1:9">
      <c r="A144" s="21" t="s">
        <v>363</v>
      </c>
      <c r="B144" s="61" t="s">
        <v>18</v>
      </c>
      <c r="C144" s="61">
        <v>41590</v>
      </c>
      <c r="D144" s="61" t="s">
        <v>939</v>
      </c>
      <c r="E144" s="61" t="s">
        <v>26</v>
      </c>
      <c r="F144" s="61" t="s">
        <v>14</v>
      </c>
      <c r="G144" s="61">
        <v>150</v>
      </c>
      <c r="H144" s="63">
        <v>49.18</v>
      </c>
      <c r="I144" s="63">
        <v>0</v>
      </c>
    </row>
    <row r="145" spans="1:9">
      <c r="A145" s="10" t="s">
        <v>172</v>
      </c>
      <c r="B145" s="61" t="s">
        <v>8</v>
      </c>
      <c r="C145" s="61">
        <v>40409</v>
      </c>
      <c r="D145" s="61" t="s">
        <v>939</v>
      </c>
      <c r="E145" s="61" t="s">
        <v>19</v>
      </c>
      <c r="F145" s="61" t="s">
        <v>14</v>
      </c>
      <c r="G145" s="61">
        <v>150</v>
      </c>
      <c r="H145" s="63">
        <v>161.11000000000001</v>
      </c>
      <c r="I145" s="63">
        <v>5.09</v>
      </c>
    </row>
    <row r="146" spans="1:9">
      <c r="A146" s="10" t="s">
        <v>173</v>
      </c>
      <c r="B146" s="61" t="s">
        <v>8</v>
      </c>
      <c r="C146" s="61">
        <v>40409</v>
      </c>
      <c r="D146" s="61" t="s">
        <v>939</v>
      </c>
      <c r="E146" s="61" t="s">
        <v>19</v>
      </c>
      <c r="F146" s="61" t="s">
        <v>14</v>
      </c>
      <c r="G146" s="61">
        <v>150</v>
      </c>
      <c r="H146" s="63">
        <v>157.79</v>
      </c>
      <c r="I146" s="63">
        <v>5.09</v>
      </c>
    </row>
    <row r="147" spans="1:9">
      <c r="A147" s="21" t="s">
        <v>174</v>
      </c>
      <c r="B147" s="61" t="s">
        <v>8</v>
      </c>
      <c r="C147" s="61">
        <v>41585</v>
      </c>
      <c r="D147" s="61" t="s">
        <v>939</v>
      </c>
      <c r="E147" s="61" t="s">
        <v>19</v>
      </c>
      <c r="F147" s="61" t="s">
        <v>14</v>
      </c>
      <c r="G147" s="61">
        <v>150</v>
      </c>
      <c r="H147" s="63">
        <v>157.79</v>
      </c>
      <c r="I147" s="63">
        <v>5.09</v>
      </c>
    </row>
    <row r="148" spans="1:9">
      <c r="A148" s="10" t="s">
        <v>175</v>
      </c>
      <c r="B148" s="61" t="s">
        <v>18</v>
      </c>
      <c r="C148" s="61">
        <v>40920</v>
      </c>
      <c r="D148" s="61" t="s">
        <v>939</v>
      </c>
      <c r="E148" s="61" t="s">
        <v>26</v>
      </c>
      <c r="F148" s="61" t="s">
        <v>14</v>
      </c>
      <c r="G148" s="61">
        <v>150</v>
      </c>
      <c r="H148" s="63">
        <v>31.95</v>
      </c>
    </row>
    <row r="149" spans="1:9">
      <c r="A149" s="21" t="s">
        <v>176</v>
      </c>
      <c r="B149" s="61" t="s">
        <v>18</v>
      </c>
      <c r="C149" s="61">
        <v>41010</v>
      </c>
      <c r="D149" s="61" t="s">
        <v>939</v>
      </c>
      <c r="E149" s="61" t="s">
        <v>26</v>
      </c>
      <c r="F149" s="61" t="s">
        <v>14</v>
      </c>
      <c r="G149" s="61">
        <v>150</v>
      </c>
      <c r="H149" s="63">
        <v>31.95</v>
      </c>
    </row>
    <row r="150" spans="1:9">
      <c r="A150" s="10" t="s">
        <v>177</v>
      </c>
      <c r="B150" s="61" t="s">
        <v>8</v>
      </c>
      <c r="C150" s="61">
        <v>35801</v>
      </c>
      <c r="D150" s="61" t="s">
        <v>939</v>
      </c>
      <c r="E150" s="61" t="s">
        <v>940</v>
      </c>
      <c r="F150" s="61" t="s">
        <v>9</v>
      </c>
      <c r="G150" s="61">
        <v>150</v>
      </c>
      <c r="H150" s="63">
        <v>179.51</v>
      </c>
      <c r="I150" s="63">
        <v>4.08</v>
      </c>
    </row>
    <row r="151" spans="1:9">
      <c r="A151" s="21" t="s">
        <v>178</v>
      </c>
      <c r="B151" s="61" t="s">
        <v>22</v>
      </c>
      <c r="C151" s="61">
        <v>36228</v>
      </c>
      <c r="D151" s="61" t="s">
        <v>939</v>
      </c>
      <c r="E151" s="61" t="s">
        <v>10</v>
      </c>
      <c r="F151" s="61" t="s">
        <v>9</v>
      </c>
      <c r="G151" s="61">
        <v>150</v>
      </c>
      <c r="H151" s="63">
        <v>168.44</v>
      </c>
      <c r="I151" s="63">
        <v>56.83</v>
      </c>
    </row>
    <row r="152" spans="1:9">
      <c r="A152" s="10" t="s">
        <v>179</v>
      </c>
      <c r="B152" s="61" t="s">
        <v>22</v>
      </c>
      <c r="C152" s="61">
        <v>36899</v>
      </c>
      <c r="D152" s="61" t="s">
        <v>939</v>
      </c>
      <c r="E152" s="61" t="s">
        <v>10</v>
      </c>
      <c r="F152" s="61" t="s">
        <v>9</v>
      </c>
      <c r="G152" s="61">
        <v>150</v>
      </c>
      <c r="H152" s="63">
        <v>168.44</v>
      </c>
      <c r="I152" s="63">
        <v>56.83</v>
      </c>
    </row>
    <row r="153" spans="1:9">
      <c r="A153" s="21" t="s">
        <v>180</v>
      </c>
      <c r="B153" s="61" t="s">
        <v>22</v>
      </c>
      <c r="C153" s="61">
        <v>37187</v>
      </c>
      <c r="D153" s="61" t="s">
        <v>939</v>
      </c>
      <c r="E153" s="61" t="s">
        <v>10</v>
      </c>
      <c r="F153" s="61" t="s">
        <v>9</v>
      </c>
      <c r="G153" s="61">
        <v>150</v>
      </c>
      <c r="H153" s="63">
        <v>168.44</v>
      </c>
      <c r="I153" s="63">
        <v>56.83</v>
      </c>
    </row>
    <row r="154" spans="1:9">
      <c r="A154" s="21" t="s">
        <v>181</v>
      </c>
      <c r="B154" s="61" t="s">
        <v>8</v>
      </c>
      <c r="C154" s="61">
        <v>37938</v>
      </c>
      <c r="D154" s="61" t="s">
        <v>939</v>
      </c>
      <c r="E154" s="61" t="s">
        <v>940</v>
      </c>
      <c r="F154" s="61" t="s">
        <v>9</v>
      </c>
      <c r="G154" s="61">
        <v>150</v>
      </c>
      <c r="H154" s="63">
        <v>179.059</v>
      </c>
      <c r="I154" s="63">
        <v>4.13</v>
      </c>
    </row>
    <row r="155" spans="1:9">
      <c r="A155" s="21" t="s">
        <v>182</v>
      </c>
      <c r="B155" s="61" t="s">
        <v>8</v>
      </c>
      <c r="C155" s="61">
        <v>38015</v>
      </c>
      <c r="D155" s="61" t="s">
        <v>939</v>
      </c>
      <c r="E155" s="61" t="s">
        <v>940</v>
      </c>
      <c r="F155" s="61" t="s">
        <v>9</v>
      </c>
      <c r="G155" s="61">
        <v>150</v>
      </c>
      <c r="H155" s="63">
        <v>178.9</v>
      </c>
      <c r="I155" s="63">
        <v>4.13</v>
      </c>
    </row>
    <row r="156" spans="1:9">
      <c r="A156" s="10" t="s">
        <v>183</v>
      </c>
      <c r="B156" s="61" t="s">
        <v>8</v>
      </c>
      <c r="C156" s="61">
        <v>38090</v>
      </c>
      <c r="D156" s="61" t="s">
        <v>939</v>
      </c>
      <c r="E156" s="61" t="s">
        <v>10</v>
      </c>
      <c r="F156" s="61" t="s">
        <v>9</v>
      </c>
      <c r="G156" s="61">
        <v>150</v>
      </c>
      <c r="H156" s="63">
        <v>178.9</v>
      </c>
      <c r="I156" s="63">
        <v>4.13</v>
      </c>
    </row>
    <row r="157" spans="1:9">
      <c r="A157" s="21" t="s">
        <v>360</v>
      </c>
      <c r="B157" s="61" t="s">
        <v>8</v>
      </c>
      <c r="C157" s="61">
        <v>38432</v>
      </c>
      <c r="D157" s="61" t="s">
        <v>939</v>
      </c>
      <c r="E157" s="61" t="s">
        <v>940</v>
      </c>
      <c r="F157" s="61" t="s">
        <v>9</v>
      </c>
      <c r="G157" s="61">
        <v>150</v>
      </c>
      <c r="H157" s="63">
        <v>179.059</v>
      </c>
      <c r="I157" s="63">
        <v>4.13</v>
      </c>
    </row>
    <row r="158" spans="1:9">
      <c r="A158" s="10" t="s">
        <v>185</v>
      </c>
      <c r="B158" s="61" t="s">
        <v>8</v>
      </c>
      <c r="C158" s="61">
        <v>39140</v>
      </c>
      <c r="D158" s="61" t="s">
        <v>939</v>
      </c>
      <c r="E158" s="61" t="s">
        <v>12</v>
      </c>
      <c r="F158" s="61" t="s">
        <v>13</v>
      </c>
      <c r="G158" s="61">
        <v>150</v>
      </c>
      <c r="H158" s="63">
        <v>179.059</v>
      </c>
      <c r="I158" s="63">
        <v>4.13</v>
      </c>
    </row>
    <row r="159" spans="1:9">
      <c r="A159" s="10" t="s">
        <v>186</v>
      </c>
      <c r="B159" s="61" t="s">
        <v>8</v>
      </c>
      <c r="C159" s="61">
        <v>39325</v>
      </c>
      <c r="D159" s="61" t="s">
        <v>939</v>
      </c>
      <c r="E159" s="61" t="s">
        <v>19</v>
      </c>
      <c r="F159" s="61" t="s">
        <v>14</v>
      </c>
      <c r="G159" s="61">
        <v>150</v>
      </c>
      <c r="H159" s="63">
        <v>179.059</v>
      </c>
      <c r="I159" s="63">
        <v>4.13</v>
      </c>
    </row>
    <row r="160" spans="1:9">
      <c r="A160" s="10" t="s">
        <v>187</v>
      </c>
      <c r="B160" s="61" t="s">
        <v>8</v>
      </c>
      <c r="C160" s="61">
        <v>38770</v>
      </c>
      <c r="D160" s="61" t="s">
        <v>939</v>
      </c>
      <c r="E160" s="61" t="s">
        <v>10</v>
      </c>
      <c r="F160" s="61" t="s">
        <v>9</v>
      </c>
      <c r="G160" s="61">
        <v>150</v>
      </c>
      <c r="H160" s="63">
        <v>178.9</v>
      </c>
      <c r="I160" s="63">
        <v>4.13</v>
      </c>
    </row>
    <row r="161" spans="1:9">
      <c r="A161" s="21" t="s">
        <v>188</v>
      </c>
      <c r="B161" s="61" t="s">
        <v>8</v>
      </c>
      <c r="C161" s="61">
        <v>40191</v>
      </c>
      <c r="D161" s="61" t="s">
        <v>939</v>
      </c>
      <c r="E161" s="61" t="s">
        <v>12</v>
      </c>
      <c r="F161" s="61" t="s">
        <v>13</v>
      </c>
      <c r="G161" s="61">
        <v>150</v>
      </c>
      <c r="H161" s="63">
        <v>104.85</v>
      </c>
      <c r="I161" s="63">
        <v>4.13</v>
      </c>
    </row>
    <row r="162" spans="1:9">
      <c r="A162" s="21" t="s">
        <v>189</v>
      </c>
      <c r="B162" s="61" t="s">
        <v>22</v>
      </c>
      <c r="C162" s="61">
        <v>37938</v>
      </c>
      <c r="D162" s="61" t="s">
        <v>939</v>
      </c>
      <c r="E162" s="61" t="s">
        <v>10</v>
      </c>
      <c r="F162" s="61" t="s">
        <v>9</v>
      </c>
      <c r="G162" s="61">
        <v>150</v>
      </c>
      <c r="H162" s="63">
        <v>161.465</v>
      </c>
      <c r="I162" s="63">
        <v>63.366</v>
      </c>
    </row>
    <row r="163" spans="1:9">
      <c r="A163" s="21" t="s">
        <v>190</v>
      </c>
      <c r="B163" s="61" t="s">
        <v>22</v>
      </c>
      <c r="C163" s="61">
        <v>38559</v>
      </c>
      <c r="D163" s="61" t="s">
        <v>939</v>
      </c>
      <c r="E163" s="61" t="s">
        <v>10</v>
      </c>
      <c r="F163" s="61" t="s">
        <v>9</v>
      </c>
      <c r="G163" s="61">
        <v>150</v>
      </c>
      <c r="H163" s="63">
        <v>163.38999999999999</v>
      </c>
      <c r="I163" s="63">
        <v>63.366</v>
      </c>
    </row>
    <row r="164" spans="1:9">
      <c r="A164" s="21" t="s">
        <v>191</v>
      </c>
      <c r="B164" s="61" t="s">
        <v>22</v>
      </c>
      <c r="C164" s="61">
        <v>39371</v>
      </c>
      <c r="D164" s="61" t="s">
        <v>939</v>
      </c>
      <c r="E164" s="61" t="s">
        <v>23</v>
      </c>
      <c r="F164" s="61" t="s">
        <v>13</v>
      </c>
      <c r="G164" s="61">
        <v>150</v>
      </c>
      <c r="H164" s="63">
        <v>163.38999999999999</v>
      </c>
      <c r="I164" s="63">
        <v>63.366</v>
      </c>
    </row>
    <row r="165" spans="1:9">
      <c r="A165" s="21" t="s">
        <v>192</v>
      </c>
      <c r="B165" s="61" t="s">
        <v>945</v>
      </c>
      <c r="C165" s="61">
        <v>38198</v>
      </c>
      <c r="D165" s="61" t="s">
        <v>939</v>
      </c>
      <c r="E165" s="61" t="s">
        <v>10</v>
      </c>
      <c r="F165" s="61" t="s">
        <v>9</v>
      </c>
      <c r="G165" s="61">
        <v>150</v>
      </c>
      <c r="H165" s="63">
        <v>161.37</v>
      </c>
      <c r="I165" s="63">
        <v>10.55</v>
      </c>
    </row>
    <row r="166" spans="1:9">
      <c r="A166" s="10" t="s">
        <v>225</v>
      </c>
      <c r="B166" s="61" t="s">
        <v>941</v>
      </c>
      <c r="C166" s="61">
        <v>38447</v>
      </c>
      <c r="D166" s="61" t="s">
        <v>939</v>
      </c>
      <c r="E166" s="61" t="s">
        <v>10</v>
      </c>
      <c r="F166" s="61" t="s">
        <v>9</v>
      </c>
      <c r="G166" s="61">
        <v>70</v>
      </c>
      <c r="H166" s="63">
        <v>162.57</v>
      </c>
      <c r="I166" s="63">
        <v>14</v>
      </c>
    </row>
    <row r="167" spans="1:9">
      <c r="A167" s="29" t="s">
        <v>194</v>
      </c>
      <c r="B167" s="61" t="s">
        <v>8</v>
      </c>
      <c r="C167" s="61">
        <v>38397</v>
      </c>
      <c r="D167" s="61" t="s">
        <v>939</v>
      </c>
      <c r="E167" s="61" t="s">
        <v>940</v>
      </c>
      <c r="F167" s="61" t="s">
        <v>9</v>
      </c>
      <c r="G167" s="61">
        <v>150</v>
      </c>
      <c r="H167" s="63">
        <v>164.04</v>
      </c>
      <c r="I167" s="63">
        <v>5.13</v>
      </c>
    </row>
    <row r="168" spans="1:9">
      <c r="A168" s="29" t="s">
        <v>195</v>
      </c>
      <c r="B168" s="61" t="s">
        <v>8</v>
      </c>
      <c r="C168" s="61">
        <v>39212</v>
      </c>
      <c r="D168" s="61" t="s">
        <v>939</v>
      </c>
      <c r="E168" s="61" t="s">
        <v>12</v>
      </c>
      <c r="F168" s="61" t="s">
        <v>13</v>
      </c>
      <c r="G168" s="61">
        <v>150</v>
      </c>
      <c r="H168" s="63">
        <v>164.04</v>
      </c>
      <c r="I168" s="63">
        <v>5.13</v>
      </c>
    </row>
    <row r="169" spans="1:9">
      <c r="A169" s="10" t="s">
        <v>196</v>
      </c>
      <c r="B169" s="61" t="s">
        <v>8</v>
      </c>
      <c r="C169" s="61">
        <v>38588</v>
      </c>
      <c r="D169" s="61" t="s">
        <v>939</v>
      </c>
      <c r="E169" s="61" t="s">
        <v>10</v>
      </c>
      <c r="F169" s="61" t="s">
        <v>9</v>
      </c>
      <c r="G169" s="61">
        <v>150</v>
      </c>
      <c r="H169" s="63">
        <v>167.69</v>
      </c>
      <c r="I169" s="63">
        <v>30.58</v>
      </c>
    </row>
    <row r="170" spans="1:9">
      <c r="A170" s="10" t="s">
        <v>197</v>
      </c>
      <c r="B170" s="61" t="s">
        <v>8</v>
      </c>
      <c r="C170" s="61">
        <v>40235</v>
      </c>
      <c r="D170" s="61" t="s">
        <v>939</v>
      </c>
      <c r="E170" s="61" t="s">
        <v>12</v>
      </c>
      <c r="F170" s="61" t="s">
        <v>13</v>
      </c>
      <c r="G170" s="61">
        <v>150</v>
      </c>
      <c r="H170" s="63">
        <v>167.69</v>
      </c>
      <c r="I170" s="63">
        <v>30.58</v>
      </c>
    </row>
    <row r="171" spans="1:9">
      <c r="A171" s="10" t="s">
        <v>198</v>
      </c>
      <c r="B171" s="61" t="s">
        <v>22</v>
      </c>
      <c r="C171" s="61">
        <v>38588</v>
      </c>
      <c r="D171" s="61" t="s">
        <v>939</v>
      </c>
      <c r="E171" s="61" t="s">
        <v>10</v>
      </c>
      <c r="F171" s="61" t="s">
        <v>9</v>
      </c>
      <c r="G171" s="61">
        <v>150</v>
      </c>
      <c r="H171" s="63">
        <v>180.21</v>
      </c>
      <c r="I171" s="63">
        <v>54.71</v>
      </c>
    </row>
    <row r="172" spans="1:9">
      <c r="A172" s="10" t="s">
        <v>199</v>
      </c>
      <c r="B172" s="61" t="s">
        <v>22</v>
      </c>
      <c r="C172" s="61">
        <v>38770</v>
      </c>
      <c r="D172" s="61" t="s">
        <v>939</v>
      </c>
      <c r="E172" s="61" t="s">
        <v>10</v>
      </c>
      <c r="F172" s="61" t="s">
        <v>9</v>
      </c>
      <c r="G172" s="61">
        <v>150</v>
      </c>
      <c r="H172" s="63">
        <v>181.68</v>
      </c>
      <c r="I172" s="63">
        <v>54.16</v>
      </c>
    </row>
    <row r="173" spans="1:9">
      <c r="A173" s="10" t="s">
        <v>200</v>
      </c>
      <c r="B173" s="61" t="s">
        <v>22</v>
      </c>
      <c r="C173" s="61">
        <v>39827</v>
      </c>
      <c r="D173" s="61" t="s">
        <v>939</v>
      </c>
      <c r="E173" s="61" t="s">
        <v>23</v>
      </c>
      <c r="F173" s="61" t="s">
        <v>13</v>
      </c>
      <c r="G173" s="61">
        <v>150</v>
      </c>
      <c r="H173" s="63">
        <v>181.68</v>
      </c>
      <c r="I173" s="63">
        <v>54.16</v>
      </c>
    </row>
    <row r="174" spans="1:9">
      <c r="A174" s="29" t="s">
        <v>201</v>
      </c>
      <c r="B174" s="61" t="s">
        <v>22</v>
      </c>
      <c r="C174" s="61">
        <v>40134</v>
      </c>
      <c r="D174" s="61" t="s">
        <v>939</v>
      </c>
      <c r="E174" s="61" t="s">
        <v>23</v>
      </c>
      <c r="F174" s="61" t="s">
        <v>13</v>
      </c>
      <c r="G174" s="61">
        <v>150</v>
      </c>
      <c r="H174" s="63">
        <v>181.68</v>
      </c>
      <c r="I174" s="63">
        <v>76.66</v>
      </c>
    </row>
    <row r="175" spans="1:9">
      <c r="A175" s="29" t="s">
        <v>202</v>
      </c>
      <c r="B175" s="61" t="s">
        <v>22</v>
      </c>
      <c r="C175" s="61">
        <v>40771</v>
      </c>
      <c r="D175" s="61" t="s">
        <v>939</v>
      </c>
      <c r="E175" s="61" t="s">
        <v>23</v>
      </c>
      <c r="F175" s="61" t="s">
        <v>13</v>
      </c>
      <c r="G175" s="61">
        <v>150</v>
      </c>
      <c r="H175" s="63">
        <v>181.68</v>
      </c>
      <c r="I175" s="63">
        <v>76.66</v>
      </c>
    </row>
    <row r="176" spans="1:9">
      <c r="A176" s="29" t="s">
        <v>203</v>
      </c>
      <c r="B176" s="61" t="s">
        <v>22</v>
      </c>
      <c r="C176" s="61">
        <v>42103</v>
      </c>
      <c r="D176" s="61" t="s">
        <v>939</v>
      </c>
      <c r="E176" s="61" t="s">
        <v>31</v>
      </c>
      <c r="F176" s="61" t="s">
        <v>35</v>
      </c>
      <c r="G176" s="61">
        <v>150</v>
      </c>
      <c r="H176" s="63">
        <v>181.68</v>
      </c>
      <c r="I176" s="63">
        <v>80.97</v>
      </c>
    </row>
    <row r="177" spans="1:9">
      <c r="A177" s="29" t="s">
        <v>204</v>
      </c>
      <c r="B177" s="61" t="s">
        <v>8</v>
      </c>
      <c r="C177" s="61">
        <v>39010</v>
      </c>
      <c r="D177" s="61" t="s">
        <v>939</v>
      </c>
      <c r="E177" s="61" t="s">
        <v>10</v>
      </c>
      <c r="F177" s="61" t="s">
        <v>9</v>
      </c>
      <c r="G177" s="61">
        <v>150</v>
      </c>
      <c r="H177" s="63">
        <v>109.26</v>
      </c>
      <c r="I177" s="63">
        <v>2.38</v>
      </c>
    </row>
    <row r="178" spans="1:9">
      <c r="A178" s="10" t="s">
        <v>205</v>
      </c>
      <c r="B178" s="61" t="s">
        <v>8</v>
      </c>
      <c r="C178" s="61">
        <v>39010</v>
      </c>
      <c r="D178" s="61" t="s">
        <v>939</v>
      </c>
      <c r="E178" s="61" t="s">
        <v>12</v>
      </c>
      <c r="F178" s="61" t="s">
        <v>13</v>
      </c>
      <c r="G178" s="61">
        <v>150</v>
      </c>
      <c r="H178" s="63">
        <v>109.26</v>
      </c>
      <c r="I178" s="63">
        <v>2.38</v>
      </c>
    </row>
    <row r="179" spans="1:9">
      <c r="A179" s="10" t="s">
        <v>206</v>
      </c>
      <c r="B179" s="61" t="s">
        <v>8</v>
      </c>
      <c r="C179" s="61">
        <v>39028</v>
      </c>
      <c r="D179" s="61" t="s">
        <v>939</v>
      </c>
      <c r="E179" s="61" t="s">
        <v>12</v>
      </c>
      <c r="F179" s="61" t="s">
        <v>13</v>
      </c>
      <c r="G179" s="61">
        <v>150</v>
      </c>
      <c r="H179" s="63">
        <v>107.88</v>
      </c>
      <c r="I179" s="63">
        <v>2.38</v>
      </c>
    </row>
    <row r="180" spans="1:9">
      <c r="A180" s="47" t="s">
        <v>207</v>
      </c>
      <c r="B180" s="61" t="s">
        <v>941</v>
      </c>
      <c r="C180" s="61">
        <v>39231</v>
      </c>
      <c r="D180" s="61" t="s">
        <v>939</v>
      </c>
      <c r="E180" s="61" t="s">
        <v>10</v>
      </c>
      <c r="F180" s="61" t="s">
        <v>9</v>
      </c>
      <c r="G180" s="61">
        <v>70</v>
      </c>
      <c r="H180" s="63">
        <v>166.99</v>
      </c>
      <c r="I180" s="63">
        <v>40.700000000000003</v>
      </c>
    </row>
    <row r="181" spans="1:9">
      <c r="A181" s="21" t="s">
        <v>208</v>
      </c>
      <c r="B181" s="61" t="s">
        <v>941</v>
      </c>
      <c r="C181" s="61">
        <v>39272</v>
      </c>
      <c r="D181" s="61" t="s">
        <v>939</v>
      </c>
      <c r="E181" s="61" t="s">
        <v>10</v>
      </c>
      <c r="F181" s="61" t="s">
        <v>9</v>
      </c>
      <c r="G181" s="61">
        <v>70</v>
      </c>
      <c r="H181" s="63">
        <v>171.95</v>
      </c>
      <c r="I181" s="63">
        <v>40.700000000000003</v>
      </c>
    </row>
    <row r="182" spans="1:9">
      <c r="A182" s="21" t="s">
        <v>209</v>
      </c>
      <c r="B182" s="61" t="s">
        <v>941</v>
      </c>
      <c r="C182" s="61">
        <v>39364</v>
      </c>
      <c r="D182" s="61" t="s">
        <v>939</v>
      </c>
      <c r="E182" s="61" t="s">
        <v>10</v>
      </c>
      <c r="F182" s="61" t="s">
        <v>9</v>
      </c>
      <c r="G182" s="61">
        <v>70</v>
      </c>
      <c r="H182" s="63">
        <v>166.99</v>
      </c>
      <c r="I182" s="63">
        <v>15.43</v>
      </c>
    </row>
    <row r="183" spans="1:9">
      <c r="A183" s="21" t="s">
        <v>210</v>
      </c>
      <c r="B183" s="61" t="s">
        <v>941</v>
      </c>
      <c r="C183" s="61">
        <v>39918</v>
      </c>
      <c r="D183" s="61" t="s">
        <v>939</v>
      </c>
      <c r="E183" s="61" t="s">
        <v>23</v>
      </c>
      <c r="F183" s="61" t="s">
        <v>13</v>
      </c>
      <c r="G183" s="61">
        <v>150</v>
      </c>
      <c r="H183" s="63">
        <v>177.22</v>
      </c>
      <c r="I183" s="63">
        <v>17.71</v>
      </c>
    </row>
    <row r="184" spans="1:9">
      <c r="A184" s="10" t="s">
        <v>397</v>
      </c>
      <c r="B184" s="61" t="s">
        <v>941</v>
      </c>
      <c r="C184" s="61">
        <v>39989</v>
      </c>
      <c r="D184" s="61" t="s">
        <v>939</v>
      </c>
      <c r="E184" s="61" t="s">
        <v>10</v>
      </c>
      <c r="F184" s="61" t="s">
        <v>9</v>
      </c>
      <c r="G184" s="61">
        <v>150</v>
      </c>
      <c r="H184" s="63">
        <v>177.22</v>
      </c>
      <c r="I184" s="63">
        <v>15.43</v>
      </c>
    </row>
    <row r="185" spans="1:9">
      <c r="A185" s="21" t="s">
        <v>212</v>
      </c>
      <c r="B185" s="61" t="s">
        <v>941</v>
      </c>
      <c r="C185" s="61">
        <v>40059</v>
      </c>
      <c r="D185" s="61" t="s">
        <v>939</v>
      </c>
      <c r="E185" s="61" t="s">
        <v>23</v>
      </c>
      <c r="F185" s="61" t="s">
        <v>13</v>
      </c>
      <c r="G185" s="61">
        <v>150</v>
      </c>
      <c r="H185" s="63">
        <v>177.22</v>
      </c>
      <c r="I185" s="63">
        <v>15.43</v>
      </c>
    </row>
    <row r="186" spans="1:9">
      <c r="A186" s="21" t="s">
        <v>213</v>
      </c>
      <c r="B186" s="61" t="s">
        <v>8</v>
      </c>
      <c r="C186" s="61">
        <v>39860</v>
      </c>
      <c r="D186" s="61" t="s">
        <v>939</v>
      </c>
      <c r="E186" s="61" t="s">
        <v>12</v>
      </c>
      <c r="F186" s="61" t="s">
        <v>13</v>
      </c>
      <c r="G186" s="61">
        <v>150</v>
      </c>
      <c r="H186" s="63">
        <v>177.18</v>
      </c>
      <c r="I186" s="63">
        <v>3.21</v>
      </c>
    </row>
    <row r="187" spans="1:9">
      <c r="A187" s="21" t="s">
        <v>214</v>
      </c>
      <c r="B187" s="61" t="s">
        <v>8</v>
      </c>
      <c r="C187" s="61">
        <v>39883</v>
      </c>
      <c r="D187" s="61" t="s">
        <v>939</v>
      </c>
      <c r="E187" s="61" t="s">
        <v>19</v>
      </c>
      <c r="F187" s="61" t="s">
        <v>14</v>
      </c>
      <c r="G187" s="61">
        <v>150</v>
      </c>
      <c r="H187" s="63">
        <v>153.85</v>
      </c>
      <c r="I187" s="63">
        <v>20.12</v>
      </c>
    </row>
    <row r="188" spans="1:9">
      <c r="A188" s="10" t="s">
        <v>49</v>
      </c>
      <c r="B188" s="61" t="s">
        <v>8</v>
      </c>
      <c r="C188" s="61">
        <v>40816</v>
      </c>
      <c r="D188" s="61" t="s">
        <v>939</v>
      </c>
      <c r="E188" s="61" t="s">
        <v>19</v>
      </c>
      <c r="F188" s="61" t="s">
        <v>14</v>
      </c>
      <c r="G188" s="61">
        <v>150</v>
      </c>
      <c r="H188" s="63">
        <v>156.28</v>
      </c>
      <c r="I188" s="63">
        <v>23.41</v>
      </c>
    </row>
    <row r="189" spans="1:9">
      <c r="A189" s="21" t="s">
        <v>216</v>
      </c>
      <c r="B189" s="61" t="s">
        <v>22</v>
      </c>
      <c r="C189" s="61">
        <v>41654</v>
      </c>
      <c r="D189" s="61" t="s">
        <v>939</v>
      </c>
      <c r="E189" s="61" t="s">
        <v>23</v>
      </c>
      <c r="F189" s="61" t="s">
        <v>13</v>
      </c>
      <c r="G189" s="61">
        <v>150</v>
      </c>
      <c r="H189" s="63">
        <v>148.03</v>
      </c>
      <c r="I189" s="63">
        <v>45.24</v>
      </c>
    </row>
    <row r="190" spans="1:9">
      <c r="A190" s="10" t="s">
        <v>33</v>
      </c>
      <c r="B190" s="61" t="s">
        <v>22</v>
      </c>
      <c r="C190" s="61">
        <v>41654</v>
      </c>
      <c r="D190" s="61" t="s">
        <v>939</v>
      </c>
      <c r="E190" s="61" t="s">
        <v>23</v>
      </c>
      <c r="F190" s="61" t="s">
        <v>13</v>
      </c>
      <c r="G190" s="61">
        <v>150</v>
      </c>
      <c r="H190" s="63">
        <v>153.78</v>
      </c>
      <c r="I190" s="63">
        <v>45.24</v>
      </c>
    </row>
    <row r="191" spans="1:9">
      <c r="A191" s="21" t="s">
        <v>218</v>
      </c>
      <c r="B191" s="61" t="s">
        <v>22</v>
      </c>
      <c r="C191" s="61">
        <v>42065</v>
      </c>
      <c r="D191" s="61" t="s">
        <v>939</v>
      </c>
      <c r="E191" s="61" t="s">
        <v>23</v>
      </c>
      <c r="F191" s="61" t="s">
        <v>13</v>
      </c>
      <c r="G191" s="61">
        <v>150</v>
      </c>
      <c r="H191" s="63">
        <v>161.88999999999999</v>
      </c>
      <c r="I191" s="63">
        <v>52.67</v>
      </c>
    </row>
    <row r="192" spans="1:9">
      <c r="A192" s="21" t="s">
        <v>219</v>
      </c>
      <c r="B192" s="61" t="s">
        <v>8</v>
      </c>
      <c r="C192" s="61">
        <v>42009</v>
      </c>
      <c r="D192" s="61" t="s">
        <v>939</v>
      </c>
      <c r="E192" s="61" t="s">
        <v>12</v>
      </c>
      <c r="F192" s="61" t="s">
        <v>13</v>
      </c>
      <c r="G192" s="61">
        <v>150</v>
      </c>
      <c r="H192" s="63">
        <v>106.49</v>
      </c>
      <c r="I192" s="63">
        <v>1.74</v>
      </c>
    </row>
    <row r="193" spans="1:9">
      <c r="A193" s="10" t="s">
        <v>220</v>
      </c>
      <c r="B193" s="61" t="s">
        <v>8</v>
      </c>
      <c r="C193" s="61">
        <v>42009</v>
      </c>
      <c r="D193" s="61" t="s">
        <v>939</v>
      </c>
      <c r="E193" s="61" t="s">
        <v>12</v>
      </c>
      <c r="F193" s="61" t="s">
        <v>13</v>
      </c>
      <c r="G193" s="61">
        <v>150</v>
      </c>
      <c r="H193" s="63">
        <v>106.49</v>
      </c>
      <c r="I193" s="63">
        <v>1.74</v>
      </c>
    </row>
    <row r="194" spans="1:9">
      <c r="A194" s="52" t="s">
        <v>221</v>
      </c>
      <c r="B194" s="61" t="s">
        <v>8</v>
      </c>
      <c r="C194" s="61">
        <v>42009</v>
      </c>
      <c r="D194" s="61" t="s">
        <v>939</v>
      </c>
      <c r="E194" s="61" t="s">
        <v>65</v>
      </c>
      <c r="F194" s="61" t="s">
        <v>66</v>
      </c>
      <c r="G194" s="61">
        <v>150</v>
      </c>
      <c r="H194" s="63">
        <v>106.49</v>
      </c>
      <c r="I194" s="63">
        <v>1.74</v>
      </c>
    </row>
    <row r="195" spans="1:9">
      <c r="A195" s="10" t="s">
        <v>222</v>
      </c>
      <c r="B195" s="61" t="s">
        <v>22</v>
      </c>
      <c r="C195" s="61">
        <v>36719</v>
      </c>
      <c r="D195" s="61" t="s">
        <v>939</v>
      </c>
      <c r="E195" s="61" t="s">
        <v>10</v>
      </c>
      <c r="F195" s="61" t="s">
        <v>9</v>
      </c>
      <c r="G195" s="61">
        <v>70</v>
      </c>
      <c r="H195" s="63">
        <v>153.56</v>
      </c>
      <c r="I195" s="63">
        <v>57.82</v>
      </c>
    </row>
    <row r="196" spans="1:9">
      <c r="A196" s="10" t="s">
        <v>223</v>
      </c>
      <c r="B196" s="61" t="s">
        <v>22</v>
      </c>
      <c r="C196" s="61">
        <v>36804</v>
      </c>
      <c r="D196" s="61" t="s">
        <v>939</v>
      </c>
      <c r="E196" s="61" t="s">
        <v>10</v>
      </c>
      <c r="F196" s="61" t="s">
        <v>9</v>
      </c>
      <c r="G196" s="61">
        <v>70</v>
      </c>
      <c r="H196" s="63">
        <v>153.56</v>
      </c>
      <c r="I196" s="63">
        <v>57.82</v>
      </c>
    </row>
    <row r="197" spans="1:9">
      <c r="A197" s="10" t="s">
        <v>224</v>
      </c>
      <c r="B197" s="61" t="s">
        <v>22</v>
      </c>
      <c r="C197" s="61">
        <v>36934</v>
      </c>
      <c r="D197" s="61" t="s">
        <v>939</v>
      </c>
      <c r="E197" s="61" t="s">
        <v>940</v>
      </c>
      <c r="F197" s="61" t="s">
        <v>9</v>
      </c>
      <c r="G197" s="61">
        <v>70</v>
      </c>
      <c r="H197" s="63">
        <v>153.56</v>
      </c>
      <c r="I197" s="63">
        <v>57.82</v>
      </c>
    </row>
    <row r="198" spans="1:9">
      <c r="A198" s="10" t="s">
        <v>285</v>
      </c>
      <c r="B198" s="61" t="s">
        <v>22</v>
      </c>
      <c r="C198" s="61">
        <v>36944</v>
      </c>
      <c r="D198" s="61" t="s">
        <v>939</v>
      </c>
      <c r="E198" s="61" t="s">
        <v>940</v>
      </c>
      <c r="F198" s="61" t="s">
        <v>9</v>
      </c>
      <c r="G198" s="61">
        <v>70</v>
      </c>
      <c r="H198" s="63">
        <v>153.56</v>
      </c>
      <c r="I198" s="63">
        <v>55.74</v>
      </c>
    </row>
    <row r="199" spans="1:9">
      <c r="A199" s="10" t="s">
        <v>226</v>
      </c>
      <c r="B199" s="61" t="s">
        <v>22</v>
      </c>
      <c r="C199" s="61">
        <v>37299</v>
      </c>
      <c r="D199" s="61" t="s">
        <v>939</v>
      </c>
      <c r="E199" s="61" t="s">
        <v>940</v>
      </c>
      <c r="F199" s="61" t="s">
        <v>9</v>
      </c>
      <c r="G199" s="61">
        <v>70</v>
      </c>
      <c r="H199" s="63">
        <v>153.56</v>
      </c>
      <c r="I199" s="63">
        <v>55.74</v>
      </c>
    </row>
    <row r="200" spans="1:9">
      <c r="A200" s="10" t="s">
        <v>227</v>
      </c>
      <c r="B200" s="61" t="s">
        <v>22</v>
      </c>
      <c r="C200" s="61">
        <v>37649</v>
      </c>
      <c r="D200" s="61" t="s">
        <v>939</v>
      </c>
      <c r="E200" s="61" t="s">
        <v>10</v>
      </c>
      <c r="F200" s="61" t="s">
        <v>9</v>
      </c>
      <c r="G200" s="61">
        <v>70</v>
      </c>
      <c r="H200" s="63">
        <v>163.41</v>
      </c>
      <c r="I200" s="63">
        <v>41.23</v>
      </c>
    </row>
    <row r="201" spans="1:9">
      <c r="A201" s="10" t="s">
        <v>228</v>
      </c>
      <c r="B201" s="61" t="s">
        <v>8</v>
      </c>
      <c r="C201" s="61">
        <v>38126</v>
      </c>
      <c r="D201" s="61" t="s">
        <v>939</v>
      </c>
      <c r="E201" s="61" t="s">
        <v>940</v>
      </c>
      <c r="F201" s="61" t="s">
        <v>9</v>
      </c>
      <c r="G201" s="61">
        <v>70</v>
      </c>
      <c r="H201" s="63">
        <v>161.41</v>
      </c>
      <c r="I201" s="63">
        <v>7.8390000000000004</v>
      </c>
    </row>
    <row r="202" spans="1:9">
      <c r="A202" s="10" t="s">
        <v>229</v>
      </c>
      <c r="B202" s="61" t="s">
        <v>8</v>
      </c>
      <c r="C202" s="61">
        <v>38299</v>
      </c>
      <c r="D202" s="61" t="s">
        <v>939</v>
      </c>
      <c r="E202" s="61" t="s">
        <v>940</v>
      </c>
      <c r="F202" s="61" t="s">
        <v>9</v>
      </c>
      <c r="G202" s="61">
        <v>70</v>
      </c>
      <c r="H202" s="63">
        <v>161.41</v>
      </c>
      <c r="I202" s="63">
        <v>7.9569999999999999</v>
      </c>
    </row>
    <row r="203" spans="1:9">
      <c r="A203" s="10" t="s">
        <v>230</v>
      </c>
      <c r="B203" s="61" t="s">
        <v>8</v>
      </c>
      <c r="C203" s="61">
        <v>37013</v>
      </c>
      <c r="D203" s="61" t="s">
        <v>939</v>
      </c>
      <c r="E203" s="61" t="s">
        <v>10</v>
      </c>
      <c r="F203" s="61" t="s">
        <v>9</v>
      </c>
      <c r="G203" s="61">
        <v>70</v>
      </c>
      <c r="H203" s="63">
        <v>157.66</v>
      </c>
      <c r="I203" s="63">
        <v>4.13</v>
      </c>
    </row>
    <row r="204" spans="1:9">
      <c r="A204" s="10" t="s">
        <v>230</v>
      </c>
      <c r="B204" s="61" t="s">
        <v>8</v>
      </c>
      <c r="C204" s="61">
        <v>37320</v>
      </c>
      <c r="D204" s="61" t="s">
        <v>939</v>
      </c>
      <c r="E204" s="61" t="s">
        <v>940</v>
      </c>
      <c r="F204" s="61" t="s">
        <v>9</v>
      </c>
      <c r="G204" s="61">
        <v>70</v>
      </c>
      <c r="H204" s="63">
        <v>157.66</v>
      </c>
      <c r="I204" s="63">
        <v>4.13</v>
      </c>
    </row>
    <row r="205" spans="1:9">
      <c r="A205" s="21" t="s">
        <v>231</v>
      </c>
      <c r="B205" s="61" t="s">
        <v>18</v>
      </c>
      <c r="C205" s="61">
        <v>37890</v>
      </c>
      <c r="D205" s="61" t="s">
        <v>939</v>
      </c>
      <c r="E205" s="61" t="s">
        <v>10</v>
      </c>
      <c r="F205" s="61" t="s">
        <v>9</v>
      </c>
      <c r="G205" s="61">
        <v>150</v>
      </c>
      <c r="H205" s="63">
        <v>167.3</v>
      </c>
    </row>
    <row r="206" spans="1:9">
      <c r="A206" s="21" t="s">
        <v>232</v>
      </c>
      <c r="B206" s="61" t="s">
        <v>18</v>
      </c>
      <c r="C206" s="61">
        <v>38103</v>
      </c>
      <c r="D206" s="61" t="s">
        <v>939</v>
      </c>
      <c r="E206" s="61" t="s">
        <v>10</v>
      </c>
      <c r="F206" s="61" t="s">
        <v>9</v>
      </c>
      <c r="G206" s="61">
        <v>150</v>
      </c>
      <c r="H206" s="63">
        <v>144.08000000000001</v>
      </c>
    </row>
    <row r="207" spans="1:9">
      <c r="A207" s="10" t="s">
        <v>233</v>
      </c>
      <c r="B207" s="61" t="s">
        <v>18</v>
      </c>
      <c r="C207" s="61">
        <v>38330</v>
      </c>
      <c r="D207" s="61" t="s">
        <v>939</v>
      </c>
      <c r="E207" s="61" t="s">
        <v>10</v>
      </c>
      <c r="F207" s="61" t="s">
        <v>9</v>
      </c>
      <c r="G207" s="61">
        <v>150</v>
      </c>
      <c r="H207" s="63">
        <v>144.08000000000001</v>
      </c>
    </row>
    <row r="208" spans="1:9">
      <c r="A208" s="10" t="s">
        <v>234</v>
      </c>
      <c r="B208" s="61" t="s">
        <v>8</v>
      </c>
      <c r="C208" s="61">
        <v>37103</v>
      </c>
      <c r="D208" s="61" t="s">
        <v>939</v>
      </c>
      <c r="E208" s="61" t="s">
        <v>10</v>
      </c>
      <c r="F208" s="61" t="s">
        <v>9</v>
      </c>
      <c r="G208" s="61">
        <v>70</v>
      </c>
      <c r="H208" s="63">
        <v>163.16</v>
      </c>
      <c r="I208" s="63">
        <v>20.12</v>
      </c>
    </row>
    <row r="209" spans="1:9">
      <c r="A209" s="10" t="s">
        <v>235</v>
      </c>
      <c r="B209" s="61" t="s">
        <v>941</v>
      </c>
      <c r="C209" s="61">
        <v>37546</v>
      </c>
      <c r="D209" s="61" t="s">
        <v>939</v>
      </c>
      <c r="E209" s="61" t="s">
        <v>10</v>
      </c>
      <c r="F209" s="61" t="s">
        <v>9</v>
      </c>
      <c r="G209" s="61">
        <v>70</v>
      </c>
      <c r="H209" s="63">
        <v>168.28</v>
      </c>
      <c r="I209" s="63">
        <v>101.93</v>
      </c>
    </row>
    <row r="210" spans="1:9">
      <c r="A210" s="10" t="s">
        <v>236</v>
      </c>
      <c r="B210" s="61" t="s">
        <v>941</v>
      </c>
      <c r="C210" s="61">
        <v>37546</v>
      </c>
      <c r="D210" s="61" t="s">
        <v>939</v>
      </c>
      <c r="E210" s="61" t="s">
        <v>10</v>
      </c>
      <c r="F210" s="61" t="s">
        <v>9</v>
      </c>
      <c r="G210" s="61">
        <v>70</v>
      </c>
      <c r="H210" s="63">
        <v>160.41999999999999</v>
      </c>
      <c r="I210" s="63">
        <v>101.93</v>
      </c>
    </row>
    <row r="211" spans="1:9">
      <c r="A211" s="10" t="s">
        <v>342</v>
      </c>
      <c r="B211" s="61" t="s">
        <v>941</v>
      </c>
      <c r="C211" s="61">
        <v>37546</v>
      </c>
      <c r="D211" s="61" t="s">
        <v>939</v>
      </c>
      <c r="E211" s="61" t="s">
        <v>10</v>
      </c>
      <c r="F211" s="61" t="s">
        <v>9</v>
      </c>
      <c r="G211" s="61">
        <v>70</v>
      </c>
      <c r="H211" s="63">
        <v>160.41999999999999</v>
      </c>
      <c r="I211" s="63">
        <v>51.93</v>
      </c>
    </row>
    <row r="212" spans="1:9">
      <c r="A212" s="10" t="s">
        <v>238</v>
      </c>
      <c r="B212" s="61" t="s">
        <v>941</v>
      </c>
      <c r="C212" s="61">
        <v>37728</v>
      </c>
      <c r="D212" s="61" t="s">
        <v>939</v>
      </c>
      <c r="E212" s="61" t="s">
        <v>940</v>
      </c>
      <c r="F212" s="61" t="s">
        <v>9</v>
      </c>
      <c r="G212" s="61">
        <v>70</v>
      </c>
      <c r="H212" s="63">
        <v>159.22999999999999</v>
      </c>
      <c r="I212" s="63">
        <v>10.38</v>
      </c>
    </row>
    <row r="213" spans="1:9">
      <c r="A213" s="10" t="s">
        <v>239</v>
      </c>
      <c r="B213" s="61" t="s">
        <v>8</v>
      </c>
      <c r="C213" s="61">
        <v>40269</v>
      </c>
      <c r="D213" s="61" t="s">
        <v>939</v>
      </c>
      <c r="E213" s="61" t="s">
        <v>19</v>
      </c>
      <c r="F213" s="61" t="s">
        <v>14</v>
      </c>
      <c r="G213" s="61">
        <v>150</v>
      </c>
      <c r="H213" s="63">
        <v>165.76</v>
      </c>
      <c r="I213" s="63">
        <v>4.1399999999999997</v>
      </c>
    </row>
    <row r="214" spans="1:9">
      <c r="A214" s="29" t="s">
        <v>240</v>
      </c>
      <c r="B214" s="61" t="s">
        <v>8</v>
      </c>
      <c r="C214" s="61">
        <v>40619</v>
      </c>
      <c r="D214" s="61" t="s">
        <v>939</v>
      </c>
      <c r="E214" s="61" t="s">
        <v>19</v>
      </c>
      <c r="F214" s="61" t="s">
        <v>14</v>
      </c>
      <c r="G214" s="61">
        <v>150</v>
      </c>
      <c r="H214" s="63">
        <v>166.14</v>
      </c>
      <c r="I214" s="63">
        <v>4.1399999999999997</v>
      </c>
    </row>
    <row r="215" spans="1:9">
      <c r="A215" s="10" t="s">
        <v>241</v>
      </c>
      <c r="B215" s="61" t="s">
        <v>8</v>
      </c>
      <c r="C215" s="61">
        <v>40736</v>
      </c>
      <c r="D215" s="61" t="s">
        <v>939</v>
      </c>
      <c r="E215" s="61" t="s">
        <v>19</v>
      </c>
      <c r="F215" s="61" t="s">
        <v>14</v>
      </c>
      <c r="G215" s="61">
        <v>150</v>
      </c>
      <c r="H215" s="63">
        <v>166.14</v>
      </c>
      <c r="I215" s="63">
        <v>4.1399999999999997</v>
      </c>
    </row>
    <row r="216" spans="1:9">
      <c r="A216" s="10" t="s">
        <v>351</v>
      </c>
      <c r="B216" s="61" t="s">
        <v>8</v>
      </c>
      <c r="C216" s="61">
        <v>40269</v>
      </c>
      <c r="D216" s="61" t="s">
        <v>939</v>
      </c>
      <c r="E216" s="61" t="s">
        <v>19</v>
      </c>
      <c r="F216" s="61" t="s">
        <v>14</v>
      </c>
      <c r="G216" s="61">
        <v>150</v>
      </c>
      <c r="H216" s="63">
        <v>170.16</v>
      </c>
      <c r="I216" s="63">
        <v>24.33</v>
      </c>
    </row>
    <row r="217" spans="1:9">
      <c r="A217" s="10" t="s">
        <v>243</v>
      </c>
      <c r="B217" s="61" t="s">
        <v>8</v>
      </c>
      <c r="C217" s="61">
        <v>40407</v>
      </c>
      <c r="D217" s="61" t="s">
        <v>939</v>
      </c>
      <c r="E217" s="61" t="s">
        <v>19</v>
      </c>
      <c r="F217" s="61" t="s">
        <v>14</v>
      </c>
      <c r="G217" s="61">
        <v>150</v>
      </c>
      <c r="H217" s="63">
        <v>170.16</v>
      </c>
      <c r="I217" s="63">
        <v>24.33</v>
      </c>
    </row>
    <row r="218" spans="1:9">
      <c r="A218" s="21" t="s">
        <v>169</v>
      </c>
      <c r="B218" s="61" t="s">
        <v>8</v>
      </c>
      <c r="C218" s="61">
        <v>36732</v>
      </c>
      <c r="D218" s="61" t="s">
        <v>939</v>
      </c>
      <c r="E218" s="61" t="s">
        <v>10</v>
      </c>
      <c r="F218" s="61" t="s">
        <v>9</v>
      </c>
      <c r="G218" s="61">
        <v>150</v>
      </c>
      <c r="H218" s="63">
        <v>122.34</v>
      </c>
      <c r="I218" s="63">
        <v>8.6199999999999992</v>
      </c>
    </row>
    <row r="219" spans="1:9">
      <c r="A219" s="10" t="s">
        <v>245</v>
      </c>
      <c r="B219" s="61" t="s">
        <v>943</v>
      </c>
      <c r="C219" s="61">
        <v>37001</v>
      </c>
      <c r="D219" s="61" t="s">
        <v>939</v>
      </c>
      <c r="E219" s="61" t="s">
        <v>10</v>
      </c>
      <c r="F219" s="61" t="s">
        <v>9</v>
      </c>
      <c r="G219" s="61">
        <v>70</v>
      </c>
      <c r="H219" s="63">
        <v>26.5</v>
      </c>
    </row>
    <row r="220" spans="1:9">
      <c r="A220" s="21" t="s">
        <v>171</v>
      </c>
      <c r="B220" s="61" t="s">
        <v>943</v>
      </c>
      <c r="C220" s="61">
        <v>37232</v>
      </c>
      <c r="D220" s="61" t="s">
        <v>939</v>
      </c>
      <c r="E220" s="61" t="s">
        <v>950</v>
      </c>
      <c r="F220" s="61" t="s">
        <v>947</v>
      </c>
      <c r="G220" s="61">
        <v>150</v>
      </c>
      <c r="H220" s="63">
        <v>26.5</v>
      </c>
    </row>
    <row r="221" spans="1:9">
      <c r="A221" s="21" t="s">
        <v>247</v>
      </c>
      <c r="B221" s="61" t="s">
        <v>943</v>
      </c>
      <c r="C221" s="61">
        <v>37308</v>
      </c>
      <c r="D221" s="61" t="s">
        <v>939</v>
      </c>
      <c r="E221" s="61" t="s">
        <v>10</v>
      </c>
      <c r="F221" s="61" t="s">
        <v>9</v>
      </c>
      <c r="G221" s="61">
        <v>70</v>
      </c>
      <c r="H221" s="63">
        <v>26.5</v>
      </c>
    </row>
    <row r="222" spans="1:9">
      <c r="A222" s="21" t="s">
        <v>248</v>
      </c>
      <c r="B222" s="61" t="s">
        <v>943</v>
      </c>
      <c r="C222" s="61">
        <v>37424</v>
      </c>
      <c r="D222" s="61" t="s">
        <v>939</v>
      </c>
      <c r="E222" s="61" t="s">
        <v>10</v>
      </c>
      <c r="F222" s="61" t="s">
        <v>9</v>
      </c>
      <c r="G222" s="61">
        <v>150</v>
      </c>
      <c r="H222" s="63">
        <v>26.5</v>
      </c>
    </row>
    <row r="223" spans="1:9">
      <c r="A223" s="21" t="s">
        <v>249</v>
      </c>
      <c r="B223" s="61" t="s">
        <v>943</v>
      </c>
      <c r="C223" s="61">
        <v>38119</v>
      </c>
      <c r="D223" s="61" t="s">
        <v>939</v>
      </c>
      <c r="E223" s="61" t="s">
        <v>10</v>
      </c>
      <c r="F223" s="61" t="s">
        <v>9</v>
      </c>
      <c r="G223" s="61">
        <v>150</v>
      </c>
      <c r="H223" s="63">
        <v>26.5</v>
      </c>
    </row>
    <row r="224" spans="1:9">
      <c r="A224" s="21" t="s">
        <v>250</v>
      </c>
      <c r="B224" s="61" t="s">
        <v>943</v>
      </c>
      <c r="C224" s="61">
        <v>38168</v>
      </c>
      <c r="D224" s="61" t="s">
        <v>939</v>
      </c>
      <c r="E224" s="61" t="s">
        <v>10</v>
      </c>
      <c r="F224" s="61" t="s">
        <v>9</v>
      </c>
      <c r="G224" s="61">
        <v>150</v>
      </c>
      <c r="H224" s="63">
        <v>26.5</v>
      </c>
    </row>
    <row r="225" spans="1:9">
      <c r="A225" s="10" t="s">
        <v>399</v>
      </c>
      <c r="B225" s="61" t="s">
        <v>943</v>
      </c>
      <c r="C225" s="61">
        <v>41145</v>
      </c>
      <c r="D225" s="61" t="s">
        <v>939</v>
      </c>
      <c r="E225" s="61" t="s">
        <v>26</v>
      </c>
      <c r="F225" s="61" t="s">
        <v>14</v>
      </c>
      <c r="G225" s="61">
        <v>150</v>
      </c>
      <c r="H225" s="63">
        <v>30.34</v>
      </c>
    </row>
    <row r="226" spans="1:9">
      <c r="A226" s="21" t="s">
        <v>252</v>
      </c>
      <c r="B226" s="61" t="s">
        <v>943</v>
      </c>
      <c r="C226" s="61">
        <v>41885</v>
      </c>
      <c r="D226" s="61" t="s">
        <v>939</v>
      </c>
      <c r="E226" s="61" t="s">
        <v>26</v>
      </c>
      <c r="F226" s="61" t="s">
        <v>14</v>
      </c>
      <c r="G226" s="61">
        <v>150</v>
      </c>
      <c r="H226" s="63">
        <v>28.21</v>
      </c>
    </row>
    <row r="227" spans="1:9">
      <c r="A227" s="21" t="s">
        <v>310</v>
      </c>
      <c r="B227" s="61" t="s">
        <v>943</v>
      </c>
      <c r="C227" s="61">
        <v>41957</v>
      </c>
      <c r="D227" s="61" t="s">
        <v>939</v>
      </c>
      <c r="E227" s="61" t="s">
        <v>26</v>
      </c>
      <c r="F227" s="61" t="s">
        <v>14</v>
      </c>
      <c r="G227" s="61">
        <v>150</v>
      </c>
      <c r="H227" s="63">
        <v>37.82</v>
      </c>
    </row>
    <row r="228" spans="1:9">
      <c r="A228" s="21" t="s">
        <v>392</v>
      </c>
      <c r="B228" s="61" t="s">
        <v>18</v>
      </c>
      <c r="C228" s="61">
        <v>37502</v>
      </c>
      <c r="D228" s="61" t="s">
        <v>939</v>
      </c>
      <c r="E228" s="61" t="s">
        <v>10</v>
      </c>
      <c r="F228" s="61" t="s">
        <v>9</v>
      </c>
      <c r="G228" s="61">
        <v>150</v>
      </c>
      <c r="H228" s="63">
        <v>5.2</v>
      </c>
    </row>
    <row r="229" spans="1:9">
      <c r="A229" s="21" t="s">
        <v>20</v>
      </c>
      <c r="B229" s="61" t="s">
        <v>18</v>
      </c>
      <c r="C229" s="61">
        <v>38168</v>
      </c>
      <c r="D229" s="61" t="s">
        <v>939</v>
      </c>
      <c r="E229" s="61" t="s">
        <v>10</v>
      </c>
      <c r="F229" s="61" t="s">
        <v>9</v>
      </c>
      <c r="G229" s="61">
        <v>150</v>
      </c>
      <c r="H229" s="63">
        <v>5.2</v>
      </c>
    </row>
    <row r="230" spans="1:9">
      <c r="A230" s="21" t="s">
        <v>343</v>
      </c>
      <c r="B230" s="61" t="s">
        <v>945</v>
      </c>
      <c r="C230" s="61">
        <v>41590</v>
      </c>
      <c r="D230" s="61" t="s">
        <v>939</v>
      </c>
      <c r="E230" s="61" t="s">
        <v>23</v>
      </c>
      <c r="F230" s="61" t="s">
        <v>13</v>
      </c>
      <c r="G230" s="61">
        <v>150</v>
      </c>
      <c r="H230" s="63">
        <v>100.62</v>
      </c>
      <c r="I230" s="63">
        <v>115.92</v>
      </c>
    </row>
    <row r="231" spans="1:9">
      <c r="A231" s="21" t="s">
        <v>257</v>
      </c>
      <c r="B231" s="61" t="s">
        <v>945</v>
      </c>
      <c r="C231" s="61">
        <v>41794</v>
      </c>
      <c r="D231" s="61" t="s">
        <v>939</v>
      </c>
      <c r="E231" s="61" t="s">
        <v>23</v>
      </c>
      <c r="F231" s="61" t="s">
        <v>13</v>
      </c>
      <c r="G231" s="61">
        <v>150</v>
      </c>
      <c r="H231" s="63">
        <v>100.29</v>
      </c>
      <c r="I231" s="63">
        <v>116.21</v>
      </c>
    </row>
    <row r="232" spans="1:9">
      <c r="A232" s="21" t="s">
        <v>258</v>
      </c>
      <c r="B232" s="61" t="s">
        <v>8</v>
      </c>
      <c r="C232" s="61">
        <v>36482</v>
      </c>
      <c r="D232" s="61" t="s">
        <v>939</v>
      </c>
      <c r="E232" s="61" t="s">
        <v>10</v>
      </c>
      <c r="F232" s="61" t="s">
        <v>9</v>
      </c>
      <c r="G232" s="61">
        <v>150</v>
      </c>
      <c r="H232" s="63">
        <v>164.66</v>
      </c>
      <c r="I232" s="63">
        <v>8.0399999999999991</v>
      </c>
    </row>
    <row r="233" spans="1:9">
      <c r="A233" s="21" t="s">
        <v>259</v>
      </c>
      <c r="B233" s="61" t="s">
        <v>8</v>
      </c>
      <c r="C233" s="61">
        <v>37399</v>
      </c>
      <c r="D233" s="61" t="s">
        <v>939</v>
      </c>
      <c r="E233" s="61" t="s">
        <v>10</v>
      </c>
      <c r="F233" s="61" t="s">
        <v>9</v>
      </c>
      <c r="G233" s="61">
        <v>150</v>
      </c>
      <c r="H233" s="63">
        <v>164.66</v>
      </c>
      <c r="I233" s="63">
        <v>8.0399999999999991</v>
      </c>
    </row>
    <row r="234" spans="1:9">
      <c r="A234" s="21" t="s">
        <v>260</v>
      </c>
      <c r="B234" s="61" t="s">
        <v>8</v>
      </c>
      <c r="C234" s="61">
        <v>35208</v>
      </c>
      <c r="D234" s="61" t="s">
        <v>939</v>
      </c>
      <c r="E234" s="61" t="s">
        <v>10</v>
      </c>
      <c r="F234" s="61" t="s">
        <v>9</v>
      </c>
      <c r="G234" s="61">
        <v>70</v>
      </c>
      <c r="H234" s="63">
        <v>179.14</v>
      </c>
      <c r="I234" s="63">
        <v>33.840000000000003</v>
      </c>
    </row>
    <row r="235" spans="1:9">
      <c r="A235" s="10" t="s">
        <v>15</v>
      </c>
      <c r="B235" s="61" t="s">
        <v>8</v>
      </c>
      <c r="C235" s="61">
        <v>36423</v>
      </c>
      <c r="D235" s="61" t="s">
        <v>939</v>
      </c>
      <c r="E235" s="61" t="s">
        <v>10</v>
      </c>
      <c r="F235" s="61" t="s">
        <v>9</v>
      </c>
      <c r="G235" s="61">
        <v>150</v>
      </c>
      <c r="H235" s="63">
        <v>107.91</v>
      </c>
      <c r="I235" s="63">
        <v>8.2899999999999991</v>
      </c>
    </row>
    <row r="236" spans="1:9">
      <c r="A236" s="10" t="s">
        <v>262</v>
      </c>
      <c r="B236" s="61" t="s">
        <v>8</v>
      </c>
      <c r="C236" s="61">
        <v>36439</v>
      </c>
      <c r="D236" s="61" t="s">
        <v>939</v>
      </c>
      <c r="E236" s="61" t="s">
        <v>10</v>
      </c>
      <c r="F236" s="61" t="s">
        <v>9</v>
      </c>
      <c r="G236" s="61">
        <v>150</v>
      </c>
      <c r="H236" s="63">
        <v>107.91</v>
      </c>
      <c r="I236" s="63">
        <v>8.2899999999999991</v>
      </c>
    </row>
    <row r="237" spans="1:9">
      <c r="A237" s="10" t="s">
        <v>263</v>
      </c>
      <c r="B237" s="61" t="s">
        <v>8</v>
      </c>
      <c r="C237" s="61">
        <v>37070</v>
      </c>
      <c r="D237" s="61" t="s">
        <v>939</v>
      </c>
      <c r="E237" s="61" t="s">
        <v>10</v>
      </c>
      <c r="F237" s="61" t="s">
        <v>9</v>
      </c>
      <c r="G237" s="61">
        <v>150</v>
      </c>
      <c r="H237" s="63">
        <v>106</v>
      </c>
      <c r="I237" s="63">
        <v>8.2899999999999991</v>
      </c>
    </row>
    <row r="238" spans="1:9">
      <c r="A238" s="10" t="s">
        <v>264</v>
      </c>
      <c r="B238" s="61" t="s">
        <v>22</v>
      </c>
      <c r="C238" s="61">
        <v>36971</v>
      </c>
      <c r="D238" s="61" t="s">
        <v>939</v>
      </c>
      <c r="E238" s="61" t="s">
        <v>10</v>
      </c>
      <c r="F238" s="61" t="s">
        <v>9</v>
      </c>
      <c r="G238" s="61">
        <v>70</v>
      </c>
      <c r="H238" s="63">
        <v>268</v>
      </c>
      <c r="I238" s="63">
        <v>92.82</v>
      </c>
    </row>
    <row r="239" spans="1:9">
      <c r="A239" s="21" t="s">
        <v>251</v>
      </c>
      <c r="B239" s="61" t="s">
        <v>941</v>
      </c>
      <c r="C239" s="61">
        <v>38075</v>
      </c>
      <c r="D239" s="61" t="s">
        <v>939</v>
      </c>
      <c r="E239" s="61" t="s">
        <v>10</v>
      </c>
      <c r="F239" s="61" t="s">
        <v>9</v>
      </c>
      <c r="G239" s="61">
        <v>70</v>
      </c>
      <c r="H239" s="63">
        <v>268</v>
      </c>
      <c r="I239" s="63">
        <v>92.82</v>
      </c>
    </row>
    <row r="240" spans="1:9">
      <c r="A240" s="21" t="s">
        <v>266</v>
      </c>
      <c r="B240" s="61" t="s">
        <v>22</v>
      </c>
      <c r="C240" s="61">
        <v>38593</v>
      </c>
      <c r="D240" s="61" t="s">
        <v>939</v>
      </c>
      <c r="E240" s="61" t="s">
        <v>10</v>
      </c>
      <c r="F240" s="61" t="s">
        <v>9</v>
      </c>
      <c r="G240" s="61">
        <v>70</v>
      </c>
      <c r="H240" s="63">
        <v>268</v>
      </c>
      <c r="I240" s="63">
        <v>92.82</v>
      </c>
    </row>
    <row r="241" spans="1:9">
      <c r="A241" s="21" t="s">
        <v>267</v>
      </c>
      <c r="B241" s="61" t="s">
        <v>22</v>
      </c>
      <c r="C241" s="61">
        <v>37362</v>
      </c>
      <c r="D241" s="61" t="s">
        <v>939</v>
      </c>
      <c r="E241" s="61" t="s">
        <v>10</v>
      </c>
      <c r="F241" s="61" t="s">
        <v>9</v>
      </c>
      <c r="G241" s="61">
        <v>70</v>
      </c>
      <c r="H241" s="63">
        <v>268</v>
      </c>
      <c r="I241" s="63">
        <v>88.93</v>
      </c>
    </row>
    <row r="242" spans="1:9">
      <c r="A242" s="10" t="s">
        <v>268</v>
      </c>
      <c r="B242" s="61" t="s">
        <v>8</v>
      </c>
      <c r="C242" s="61">
        <v>36971</v>
      </c>
      <c r="D242" s="61" t="s">
        <v>939</v>
      </c>
      <c r="E242" s="61" t="s">
        <v>940</v>
      </c>
      <c r="F242" s="61" t="s">
        <v>9</v>
      </c>
      <c r="G242" s="61">
        <v>150</v>
      </c>
      <c r="H242" s="63">
        <v>150.05000000000001</v>
      </c>
      <c r="I242" s="63">
        <v>11.24</v>
      </c>
    </row>
    <row r="243" spans="1:9">
      <c r="A243" s="10" t="s">
        <v>269</v>
      </c>
      <c r="B243" s="61" t="s">
        <v>8</v>
      </c>
      <c r="C243" s="61">
        <v>36971</v>
      </c>
      <c r="D243" s="61" t="s">
        <v>939</v>
      </c>
      <c r="E243" s="61" t="s">
        <v>10</v>
      </c>
      <c r="F243" s="61" t="s">
        <v>9</v>
      </c>
      <c r="G243" s="61">
        <v>150</v>
      </c>
      <c r="H243" s="63">
        <v>150.05000000000001</v>
      </c>
      <c r="I243" s="63">
        <v>11.24</v>
      </c>
    </row>
    <row r="244" spans="1:9">
      <c r="A244" s="10" t="s">
        <v>270</v>
      </c>
      <c r="B244" s="61" t="s">
        <v>8</v>
      </c>
      <c r="C244" s="61">
        <v>37000</v>
      </c>
      <c r="D244" s="61" t="s">
        <v>939</v>
      </c>
      <c r="E244" s="61" t="s">
        <v>10</v>
      </c>
      <c r="F244" s="61" t="s">
        <v>9</v>
      </c>
      <c r="G244" s="61">
        <v>150</v>
      </c>
      <c r="H244" s="63">
        <v>174.3</v>
      </c>
      <c r="I244" s="63">
        <v>11.2</v>
      </c>
    </row>
    <row r="245" spans="1:9">
      <c r="A245" s="21" t="s">
        <v>276</v>
      </c>
      <c r="B245" s="61" t="s">
        <v>8</v>
      </c>
      <c r="C245" s="61">
        <v>37095</v>
      </c>
      <c r="D245" s="61" t="s">
        <v>939</v>
      </c>
      <c r="E245" s="61" t="s">
        <v>10</v>
      </c>
      <c r="F245" s="61" t="s">
        <v>9</v>
      </c>
      <c r="G245" s="61">
        <v>150</v>
      </c>
      <c r="H245" s="63">
        <v>174.3</v>
      </c>
      <c r="I245" s="63">
        <v>11.2</v>
      </c>
    </row>
    <row r="246" spans="1:9">
      <c r="A246" s="10" t="s">
        <v>272</v>
      </c>
      <c r="B246" s="61" t="s">
        <v>8</v>
      </c>
      <c r="C246" s="61">
        <v>37497</v>
      </c>
      <c r="D246" s="61" t="s">
        <v>939</v>
      </c>
      <c r="E246" s="61" t="s">
        <v>10</v>
      </c>
      <c r="F246" s="61" t="s">
        <v>9</v>
      </c>
      <c r="G246" s="61">
        <v>150</v>
      </c>
      <c r="H246" s="63">
        <v>174.3</v>
      </c>
      <c r="I246" s="63">
        <v>11.2</v>
      </c>
    </row>
    <row r="247" spans="1:9">
      <c r="A247" s="21" t="s">
        <v>246</v>
      </c>
      <c r="B247" s="61" t="s">
        <v>8</v>
      </c>
      <c r="C247" s="61">
        <v>37531</v>
      </c>
      <c r="D247" s="61" t="s">
        <v>939</v>
      </c>
      <c r="E247" s="61" t="s">
        <v>10</v>
      </c>
      <c r="F247" s="61" t="s">
        <v>9</v>
      </c>
      <c r="G247" s="61">
        <v>150</v>
      </c>
      <c r="H247" s="63">
        <v>174.3</v>
      </c>
      <c r="I247" s="63">
        <v>11.2</v>
      </c>
    </row>
    <row r="248" spans="1:9">
      <c r="A248" s="21" t="s">
        <v>274</v>
      </c>
      <c r="B248" s="61" t="s">
        <v>8</v>
      </c>
      <c r="C248" s="61">
        <v>37531</v>
      </c>
      <c r="D248" s="61" t="s">
        <v>939</v>
      </c>
      <c r="E248" s="61" t="s">
        <v>940</v>
      </c>
      <c r="F248" s="61" t="s">
        <v>9</v>
      </c>
      <c r="G248" s="61">
        <v>150</v>
      </c>
      <c r="H248" s="63">
        <v>174.3</v>
      </c>
      <c r="I248" s="63">
        <v>11.2</v>
      </c>
    </row>
    <row r="249" spans="1:9">
      <c r="A249" s="21" t="s">
        <v>275</v>
      </c>
      <c r="B249" s="61" t="s">
        <v>8</v>
      </c>
      <c r="C249" s="61">
        <v>37531</v>
      </c>
      <c r="D249" s="61" t="s">
        <v>939</v>
      </c>
      <c r="E249" s="61" t="s">
        <v>10</v>
      </c>
      <c r="F249" s="61" t="s">
        <v>9</v>
      </c>
      <c r="G249" s="61">
        <v>150</v>
      </c>
      <c r="H249" s="63">
        <v>174.3</v>
      </c>
      <c r="I249" s="63">
        <v>11.2</v>
      </c>
    </row>
    <row r="250" spans="1:9">
      <c r="A250" s="21" t="s">
        <v>346</v>
      </c>
      <c r="B250" s="61" t="s">
        <v>8</v>
      </c>
      <c r="C250" s="61">
        <v>37537</v>
      </c>
      <c r="D250" s="61" t="s">
        <v>939</v>
      </c>
      <c r="E250" s="61" t="s">
        <v>940</v>
      </c>
      <c r="F250" s="61" t="s">
        <v>9</v>
      </c>
      <c r="G250" s="61">
        <v>150</v>
      </c>
      <c r="H250" s="63">
        <v>174.3</v>
      </c>
      <c r="I250" s="63">
        <v>11.2</v>
      </c>
    </row>
    <row r="251" spans="1:9">
      <c r="A251" s="21" t="s">
        <v>277</v>
      </c>
      <c r="B251" s="61" t="s">
        <v>8</v>
      </c>
      <c r="C251" s="61">
        <v>39178</v>
      </c>
      <c r="D251" s="61" t="s">
        <v>939</v>
      </c>
      <c r="E251" s="61" t="s">
        <v>16</v>
      </c>
      <c r="F251" s="61" t="s">
        <v>9</v>
      </c>
      <c r="G251" s="61">
        <v>150</v>
      </c>
      <c r="H251" s="63">
        <v>174.3</v>
      </c>
      <c r="I251" s="63">
        <v>11.2</v>
      </c>
    </row>
    <row r="252" spans="1:9">
      <c r="A252" s="21" t="s">
        <v>273</v>
      </c>
      <c r="B252" s="61" t="s">
        <v>8</v>
      </c>
      <c r="C252" s="61">
        <v>39178</v>
      </c>
      <c r="D252" s="61" t="s">
        <v>939</v>
      </c>
      <c r="E252" s="61" t="s">
        <v>16</v>
      </c>
      <c r="F252" s="61" t="s">
        <v>9</v>
      </c>
      <c r="G252" s="61">
        <v>150</v>
      </c>
      <c r="H252" s="63">
        <v>174.3</v>
      </c>
      <c r="I252" s="63">
        <v>11.2</v>
      </c>
    </row>
    <row r="253" spans="1:9">
      <c r="A253" s="10" t="s">
        <v>279</v>
      </c>
      <c r="B253" s="61" t="s">
        <v>8</v>
      </c>
      <c r="C253" s="61">
        <v>39972</v>
      </c>
      <c r="D253" s="61" t="s">
        <v>939</v>
      </c>
      <c r="E253" s="61" t="s">
        <v>10</v>
      </c>
      <c r="F253" s="61" t="s">
        <v>9</v>
      </c>
      <c r="G253" s="61">
        <v>150</v>
      </c>
      <c r="H253" s="63">
        <v>174.3</v>
      </c>
      <c r="I253" s="63">
        <v>11.2</v>
      </c>
    </row>
    <row r="254" spans="1:9">
      <c r="A254" s="10" t="s">
        <v>280</v>
      </c>
      <c r="B254" s="61" t="s">
        <v>8</v>
      </c>
      <c r="C254" s="61">
        <v>37259</v>
      </c>
      <c r="D254" s="61" t="s">
        <v>939</v>
      </c>
      <c r="E254" s="61" t="s">
        <v>10</v>
      </c>
      <c r="F254" s="61" t="s">
        <v>9</v>
      </c>
      <c r="G254" s="61">
        <v>150</v>
      </c>
      <c r="H254" s="63">
        <v>105.74</v>
      </c>
      <c r="I254" s="63">
        <v>8.09</v>
      </c>
    </row>
    <row r="255" spans="1:9">
      <c r="A255" s="21" t="s">
        <v>256</v>
      </c>
      <c r="B255" s="61" t="s">
        <v>8</v>
      </c>
      <c r="C255" s="61">
        <v>37491</v>
      </c>
      <c r="D255" s="61" t="s">
        <v>939</v>
      </c>
      <c r="E255" s="61" t="s">
        <v>10</v>
      </c>
      <c r="F255" s="61" t="s">
        <v>9</v>
      </c>
      <c r="G255" s="61">
        <v>150</v>
      </c>
      <c r="H255" s="63">
        <v>105.74</v>
      </c>
      <c r="I255" s="63">
        <v>8.09</v>
      </c>
    </row>
    <row r="256" spans="1:9">
      <c r="A256" s="10" t="s">
        <v>282</v>
      </c>
      <c r="B256" s="61" t="s">
        <v>8</v>
      </c>
      <c r="C256" s="61">
        <v>37554</v>
      </c>
      <c r="D256" s="61" t="s">
        <v>939</v>
      </c>
      <c r="E256" s="61" t="s">
        <v>10</v>
      </c>
      <c r="F256" s="61" t="s">
        <v>9</v>
      </c>
      <c r="G256" s="61">
        <v>150</v>
      </c>
      <c r="H256" s="63">
        <v>105.74</v>
      </c>
      <c r="I256" s="63">
        <v>8.09</v>
      </c>
    </row>
    <row r="257" spans="1:9">
      <c r="A257" s="10" t="s">
        <v>278</v>
      </c>
      <c r="B257" s="61" t="s">
        <v>8</v>
      </c>
      <c r="C257" s="61">
        <v>37554</v>
      </c>
      <c r="D257" s="61" t="s">
        <v>939</v>
      </c>
      <c r="E257" s="61" t="s">
        <v>10</v>
      </c>
      <c r="F257" s="61" t="s">
        <v>9</v>
      </c>
      <c r="G257" s="61">
        <v>150</v>
      </c>
      <c r="H257" s="63">
        <v>105.74</v>
      </c>
      <c r="I257" s="63">
        <v>8.09</v>
      </c>
    </row>
    <row r="258" spans="1:9">
      <c r="A258" s="10" t="s">
        <v>283</v>
      </c>
      <c r="B258" s="61" t="s">
        <v>8</v>
      </c>
      <c r="C258" s="61">
        <v>39129</v>
      </c>
      <c r="D258" s="61" t="s">
        <v>939</v>
      </c>
      <c r="E258" s="61" t="s">
        <v>10</v>
      </c>
      <c r="F258" s="61" t="s">
        <v>9</v>
      </c>
      <c r="G258" s="61">
        <v>150</v>
      </c>
      <c r="H258" s="63">
        <v>105.74</v>
      </c>
      <c r="I258" s="63">
        <v>8.09</v>
      </c>
    </row>
    <row r="259" spans="1:9">
      <c r="A259" s="10" t="s">
        <v>3</v>
      </c>
      <c r="B259" s="61" t="s">
        <v>8</v>
      </c>
      <c r="C259" s="61">
        <v>37280</v>
      </c>
      <c r="D259" s="61" t="s">
        <v>939</v>
      </c>
      <c r="E259" s="61" t="s">
        <v>10</v>
      </c>
      <c r="F259" s="61" t="s">
        <v>9</v>
      </c>
      <c r="G259" s="61">
        <v>150</v>
      </c>
      <c r="H259" s="63">
        <v>169.64</v>
      </c>
      <c r="I259" s="63">
        <v>11.24</v>
      </c>
    </row>
    <row r="260" spans="1:9">
      <c r="A260" s="10" t="s">
        <v>284</v>
      </c>
      <c r="B260" s="61" t="s">
        <v>8</v>
      </c>
      <c r="C260" s="61">
        <v>37469</v>
      </c>
      <c r="D260" s="61" t="s">
        <v>939</v>
      </c>
      <c r="E260" s="61" t="s">
        <v>10</v>
      </c>
      <c r="F260" s="61" t="s">
        <v>9</v>
      </c>
      <c r="G260" s="61">
        <v>150</v>
      </c>
      <c r="H260" s="63">
        <v>169.64</v>
      </c>
      <c r="I260" s="63">
        <v>11.24</v>
      </c>
    </row>
    <row r="261" spans="1:9">
      <c r="A261" s="10" t="s">
        <v>329</v>
      </c>
      <c r="B261" s="61" t="s">
        <v>8</v>
      </c>
      <c r="C261" s="61">
        <v>38462</v>
      </c>
      <c r="D261" s="61" t="s">
        <v>939</v>
      </c>
      <c r="E261" s="61" t="s">
        <v>940</v>
      </c>
      <c r="F261" s="61" t="s">
        <v>9</v>
      </c>
      <c r="G261" s="61">
        <v>150</v>
      </c>
      <c r="H261" s="63">
        <v>169.64</v>
      </c>
      <c r="I261" s="63">
        <v>11.24</v>
      </c>
    </row>
    <row r="262" spans="1:9">
      <c r="A262" s="10" t="s">
        <v>286</v>
      </c>
      <c r="B262" s="61" t="s">
        <v>8</v>
      </c>
      <c r="C262" s="61">
        <v>40045</v>
      </c>
      <c r="D262" s="61" t="s">
        <v>939</v>
      </c>
      <c r="E262" s="61" t="s">
        <v>12</v>
      </c>
      <c r="F262" s="61" t="s">
        <v>13</v>
      </c>
      <c r="G262" s="61">
        <v>150</v>
      </c>
      <c r="H262" s="63">
        <v>167.38</v>
      </c>
      <c r="I262" s="63">
        <v>11.24</v>
      </c>
    </row>
    <row r="263" spans="1:9">
      <c r="A263" s="10" t="s">
        <v>287</v>
      </c>
      <c r="B263" s="61" t="s">
        <v>22</v>
      </c>
      <c r="C263" s="61">
        <v>37811</v>
      </c>
      <c r="D263" s="61" t="s">
        <v>939</v>
      </c>
      <c r="E263" s="61" t="s">
        <v>10</v>
      </c>
      <c r="F263" s="61" t="s">
        <v>9</v>
      </c>
      <c r="G263" s="61">
        <v>70</v>
      </c>
      <c r="H263" s="63">
        <v>164.12</v>
      </c>
      <c r="I263" s="63">
        <v>72.47</v>
      </c>
    </row>
    <row r="264" spans="1:9">
      <c r="A264" s="10" t="s">
        <v>288</v>
      </c>
      <c r="B264" s="61" t="s">
        <v>22</v>
      </c>
      <c r="C264" s="61">
        <v>38014</v>
      </c>
      <c r="D264" s="61" t="s">
        <v>939</v>
      </c>
      <c r="E264" s="61" t="s">
        <v>10</v>
      </c>
      <c r="F264" s="61" t="s">
        <v>9</v>
      </c>
      <c r="G264" s="61">
        <v>150</v>
      </c>
      <c r="H264" s="63">
        <v>351.74</v>
      </c>
      <c r="I264" s="63">
        <v>168.63</v>
      </c>
    </row>
    <row r="265" spans="1:9">
      <c r="A265" s="21" t="s">
        <v>289</v>
      </c>
      <c r="B265" s="61" t="s">
        <v>22</v>
      </c>
      <c r="C265" s="61">
        <v>38586</v>
      </c>
      <c r="D265" s="61" t="s">
        <v>939</v>
      </c>
      <c r="E265" s="61" t="s">
        <v>10</v>
      </c>
      <c r="F265" s="61" t="s">
        <v>9</v>
      </c>
      <c r="G265" s="61">
        <v>150</v>
      </c>
      <c r="H265" s="63">
        <v>351.74</v>
      </c>
      <c r="I265" s="63">
        <v>168.63</v>
      </c>
    </row>
    <row r="266" spans="1:9">
      <c r="A266" s="10" t="s">
        <v>290</v>
      </c>
      <c r="B266" s="61" t="s">
        <v>8</v>
      </c>
      <c r="C266" s="61">
        <v>37964</v>
      </c>
      <c r="D266" s="61" t="s">
        <v>939</v>
      </c>
      <c r="E266" s="61" t="s">
        <v>10</v>
      </c>
      <c r="F266" s="61" t="s">
        <v>9</v>
      </c>
      <c r="G266" s="61">
        <v>70</v>
      </c>
      <c r="H266" s="63">
        <v>322.57</v>
      </c>
      <c r="I266" s="63">
        <v>18.757000000000001</v>
      </c>
    </row>
    <row r="267" spans="1:9">
      <c r="A267" s="10" t="s">
        <v>521</v>
      </c>
      <c r="B267" s="61" t="s">
        <v>8</v>
      </c>
      <c r="C267" s="61">
        <v>37964</v>
      </c>
      <c r="D267" s="61" t="s">
        <v>939</v>
      </c>
      <c r="E267" s="61" t="s">
        <v>10</v>
      </c>
      <c r="F267" s="61" t="s">
        <v>9</v>
      </c>
      <c r="G267" s="61">
        <v>70</v>
      </c>
      <c r="H267" s="63">
        <v>382.24599999999998</v>
      </c>
      <c r="I267" s="63">
        <v>18.757000000000001</v>
      </c>
    </row>
    <row r="268" spans="1:9">
      <c r="A268" s="10" t="s">
        <v>91</v>
      </c>
      <c r="B268" s="61" t="s">
        <v>8</v>
      </c>
      <c r="C268" s="61">
        <v>37964</v>
      </c>
      <c r="D268" s="61" t="s">
        <v>939</v>
      </c>
      <c r="E268" s="61" t="s">
        <v>10</v>
      </c>
      <c r="F268" s="61" t="s">
        <v>9</v>
      </c>
      <c r="G268" s="61">
        <v>70</v>
      </c>
      <c r="H268" s="63">
        <v>333.846</v>
      </c>
      <c r="I268" s="63">
        <v>18.757000000000001</v>
      </c>
    </row>
    <row r="269" spans="1:9">
      <c r="A269" s="10" t="s">
        <v>151</v>
      </c>
      <c r="B269" s="61" t="s">
        <v>8</v>
      </c>
      <c r="C269" s="61">
        <v>37964</v>
      </c>
      <c r="D269" s="61" t="s">
        <v>939</v>
      </c>
      <c r="E269" s="61" t="s">
        <v>10</v>
      </c>
      <c r="F269" s="61" t="s">
        <v>9</v>
      </c>
      <c r="G269" s="61">
        <v>70</v>
      </c>
      <c r="H269" s="63">
        <v>395.28100000000001</v>
      </c>
      <c r="I269" s="63">
        <v>18.757000000000001</v>
      </c>
    </row>
    <row r="270" spans="1:9">
      <c r="A270" s="10" t="s">
        <v>293</v>
      </c>
      <c r="B270" s="61" t="s">
        <v>18</v>
      </c>
      <c r="C270" s="61">
        <v>37964</v>
      </c>
      <c r="D270" s="61" t="s">
        <v>939</v>
      </c>
      <c r="E270" s="61" t="s">
        <v>10</v>
      </c>
      <c r="F270" s="61" t="s">
        <v>9</v>
      </c>
      <c r="G270" s="61">
        <v>150</v>
      </c>
      <c r="H270" s="63">
        <v>298.74599999999998</v>
      </c>
      <c r="I270" s="63">
        <v>0</v>
      </c>
    </row>
    <row r="271" spans="1:9">
      <c r="A271" s="10" t="s">
        <v>294</v>
      </c>
      <c r="B271" s="61" t="s">
        <v>18</v>
      </c>
      <c r="C271" s="61">
        <v>37964</v>
      </c>
      <c r="D271" s="61" t="s">
        <v>939</v>
      </c>
      <c r="E271" s="61" t="s">
        <v>10</v>
      </c>
      <c r="F271" s="61" t="s">
        <v>9</v>
      </c>
      <c r="G271" s="61">
        <v>150</v>
      </c>
      <c r="H271" s="63">
        <v>359.45299999999997</v>
      </c>
      <c r="I271" s="63">
        <v>0</v>
      </c>
    </row>
    <row r="272" spans="1:9">
      <c r="A272" s="10" t="s">
        <v>295</v>
      </c>
      <c r="B272" s="61" t="s">
        <v>18</v>
      </c>
      <c r="C272" s="61">
        <v>37964</v>
      </c>
      <c r="D272" s="61" t="s">
        <v>939</v>
      </c>
      <c r="E272" s="61" t="s">
        <v>10</v>
      </c>
      <c r="F272" s="61" t="s">
        <v>9</v>
      </c>
      <c r="G272" s="61">
        <v>150</v>
      </c>
      <c r="H272" s="63">
        <v>309.17200000000003</v>
      </c>
      <c r="I272" s="63">
        <v>0</v>
      </c>
    </row>
    <row r="273" spans="1:9">
      <c r="A273" s="21" t="s">
        <v>145</v>
      </c>
      <c r="B273" s="61" t="s">
        <v>18</v>
      </c>
      <c r="C273" s="61">
        <v>37964</v>
      </c>
      <c r="D273" s="61" t="s">
        <v>939</v>
      </c>
      <c r="E273" s="61" t="s">
        <v>10</v>
      </c>
      <c r="F273" s="61" t="s">
        <v>9</v>
      </c>
      <c r="G273" s="61">
        <v>150</v>
      </c>
      <c r="H273" s="63">
        <v>372.47199999999998</v>
      </c>
      <c r="I273" s="63">
        <v>0</v>
      </c>
    </row>
    <row r="274" spans="1:9">
      <c r="A274" s="29" t="s">
        <v>297</v>
      </c>
      <c r="B274" s="61" t="s">
        <v>18</v>
      </c>
      <c r="C274" s="61">
        <v>38014</v>
      </c>
      <c r="D274" s="61" t="s">
        <v>939</v>
      </c>
      <c r="E274" s="61" t="s">
        <v>10</v>
      </c>
      <c r="F274" s="61" t="s">
        <v>9</v>
      </c>
      <c r="G274" s="61">
        <v>70</v>
      </c>
      <c r="H274" s="63">
        <v>397.55</v>
      </c>
      <c r="I274" s="63">
        <v>18.757000000000001</v>
      </c>
    </row>
    <row r="275" spans="1:9">
      <c r="A275" s="10" t="s">
        <v>298</v>
      </c>
      <c r="B275" s="61" t="s">
        <v>18</v>
      </c>
      <c r="C275" s="61">
        <v>38014</v>
      </c>
      <c r="D275" s="61" t="s">
        <v>939</v>
      </c>
      <c r="E275" s="61" t="s">
        <v>10</v>
      </c>
      <c r="F275" s="61" t="s">
        <v>9</v>
      </c>
      <c r="G275" s="61">
        <v>150</v>
      </c>
      <c r="H275" s="63">
        <v>383.84</v>
      </c>
      <c r="I275" s="63">
        <v>0</v>
      </c>
    </row>
    <row r="276" spans="1:9">
      <c r="A276" s="21" t="s">
        <v>299</v>
      </c>
      <c r="B276" s="61" t="s">
        <v>945</v>
      </c>
      <c r="C276" s="61">
        <v>37973</v>
      </c>
      <c r="D276" s="61" t="s">
        <v>939</v>
      </c>
      <c r="E276" s="61" t="s">
        <v>10</v>
      </c>
      <c r="F276" s="61" t="s">
        <v>9</v>
      </c>
      <c r="G276" s="61">
        <v>70</v>
      </c>
      <c r="H276" s="63">
        <v>214.39</v>
      </c>
      <c r="I276" s="63">
        <v>217.01</v>
      </c>
    </row>
    <row r="277" spans="1:9">
      <c r="A277" s="21" t="s">
        <v>300</v>
      </c>
      <c r="B277" s="61" t="s">
        <v>945</v>
      </c>
      <c r="C277" s="61">
        <v>37973</v>
      </c>
      <c r="D277" s="61" t="s">
        <v>939</v>
      </c>
      <c r="E277" s="61" t="s">
        <v>10</v>
      </c>
      <c r="F277" s="61" t="s">
        <v>9</v>
      </c>
      <c r="G277" s="61">
        <v>70</v>
      </c>
      <c r="H277" s="63">
        <v>184.59</v>
      </c>
      <c r="I277" s="63">
        <v>217.01</v>
      </c>
    </row>
    <row r="278" spans="1:9">
      <c r="A278" s="21" t="s">
        <v>301</v>
      </c>
      <c r="B278" s="61" t="s">
        <v>945</v>
      </c>
      <c r="C278" s="61">
        <v>37973</v>
      </c>
      <c r="D278" s="61" t="s">
        <v>939</v>
      </c>
      <c r="E278" s="61" t="s">
        <v>10</v>
      </c>
      <c r="F278" s="61" t="s">
        <v>9</v>
      </c>
      <c r="G278" s="61">
        <v>70</v>
      </c>
      <c r="H278" s="63">
        <v>239.91</v>
      </c>
      <c r="I278" s="63">
        <v>242.54</v>
      </c>
    </row>
    <row r="279" spans="1:9">
      <c r="A279" s="10" t="s">
        <v>302</v>
      </c>
      <c r="B279" s="61" t="s">
        <v>945</v>
      </c>
      <c r="C279" s="61">
        <v>37973</v>
      </c>
      <c r="D279" s="61" t="s">
        <v>939</v>
      </c>
      <c r="E279" s="61" t="s">
        <v>10</v>
      </c>
      <c r="F279" s="61" t="s">
        <v>9</v>
      </c>
      <c r="G279" s="61">
        <v>70</v>
      </c>
      <c r="H279" s="63">
        <v>204.2</v>
      </c>
      <c r="I279" s="63">
        <v>242.54</v>
      </c>
    </row>
    <row r="280" spans="1:9">
      <c r="A280" s="10" t="s">
        <v>303</v>
      </c>
      <c r="B280" s="61" t="s">
        <v>8</v>
      </c>
      <c r="C280" s="61">
        <v>38119</v>
      </c>
      <c r="D280" s="61" t="s">
        <v>939</v>
      </c>
      <c r="E280" s="61" t="s">
        <v>10</v>
      </c>
      <c r="F280" s="61" t="s">
        <v>9</v>
      </c>
      <c r="G280" s="61">
        <v>150</v>
      </c>
      <c r="H280" s="63">
        <v>428.21</v>
      </c>
      <c r="I280" s="63">
        <v>25.09</v>
      </c>
    </row>
    <row r="281" spans="1:9">
      <c r="A281" s="10" t="s">
        <v>304</v>
      </c>
      <c r="B281" s="61" t="s">
        <v>8</v>
      </c>
      <c r="C281" s="61">
        <v>38183</v>
      </c>
      <c r="D281" s="61" t="s">
        <v>939</v>
      </c>
      <c r="E281" s="61" t="s">
        <v>10</v>
      </c>
      <c r="F281" s="61" t="s">
        <v>9</v>
      </c>
      <c r="G281" s="61">
        <v>150</v>
      </c>
      <c r="H281" s="63">
        <v>376.91</v>
      </c>
      <c r="I281" s="63">
        <v>25.09</v>
      </c>
    </row>
    <row r="282" spans="1:9">
      <c r="A282" s="10" t="s">
        <v>305</v>
      </c>
      <c r="B282" s="61" t="s">
        <v>8</v>
      </c>
      <c r="C282" s="61">
        <v>38183</v>
      </c>
      <c r="D282" s="61" t="s">
        <v>939</v>
      </c>
      <c r="E282" s="61" t="s">
        <v>10</v>
      </c>
      <c r="F282" s="61" t="s">
        <v>9</v>
      </c>
      <c r="G282" s="61">
        <v>150</v>
      </c>
      <c r="H282" s="63">
        <v>376.91</v>
      </c>
      <c r="I282" s="63">
        <v>25.09</v>
      </c>
    </row>
    <row r="283" spans="1:9">
      <c r="A283" s="10" t="s">
        <v>306</v>
      </c>
      <c r="B283" s="61" t="s">
        <v>8</v>
      </c>
      <c r="C283" s="61">
        <v>38183</v>
      </c>
      <c r="D283" s="61" t="s">
        <v>939</v>
      </c>
      <c r="E283" s="61" t="s">
        <v>10</v>
      </c>
      <c r="F283" s="61" t="s">
        <v>9</v>
      </c>
      <c r="G283" s="61">
        <v>150</v>
      </c>
      <c r="H283" s="63">
        <v>376.91</v>
      </c>
      <c r="I283" s="63">
        <v>25.09</v>
      </c>
    </row>
    <row r="284" spans="1:9">
      <c r="A284" s="10" t="s">
        <v>307</v>
      </c>
      <c r="B284" s="61" t="s">
        <v>18</v>
      </c>
      <c r="C284" s="61">
        <v>38181</v>
      </c>
      <c r="D284" s="61" t="s">
        <v>939</v>
      </c>
      <c r="E284" s="61" t="s">
        <v>10</v>
      </c>
      <c r="F284" s="61" t="s">
        <v>9</v>
      </c>
      <c r="G284" s="61">
        <v>150</v>
      </c>
      <c r="H284" s="63">
        <v>405.09</v>
      </c>
      <c r="I284" s="63">
        <v>0</v>
      </c>
    </row>
    <row r="285" spans="1:9">
      <c r="A285" s="21" t="s">
        <v>324</v>
      </c>
      <c r="B285" s="61" t="s">
        <v>18</v>
      </c>
      <c r="C285" s="61">
        <v>38181</v>
      </c>
      <c r="D285" s="61" t="s">
        <v>939</v>
      </c>
      <c r="E285" s="61" t="s">
        <v>10</v>
      </c>
      <c r="F285" s="61" t="s">
        <v>9</v>
      </c>
      <c r="G285" s="61">
        <v>150</v>
      </c>
      <c r="H285" s="63">
        <v>405.09</v>
      </c>
      <c r="I285" s="63">
        <v>0</v>
      </c>
    </row>
    <row r="286" spans="1:9">
      <c r="A286" s="58" t="s">
        <v>309</v>
      </c>
      <c r="B286" s="61" t="s">
        <v>18</v>
      </c>
      <c r="C286" s="61">
        <v>38181</v>
      </c>
      <c r="D286" s="61" t="s">
        <v>939</v>
      </c>
      <c r="E286" s="61" t="s">
        <v>10</v>
      </c>
      <c r="F286" s="61" t="s">
        <v>9</v>
      </c>
      <c r="G286" s="61">
        <v>150</v>
      </c>
      <c r="H286" s="63">
        <v>405.09</v>
      </c>
      <c r="I286" s="63">
        <v>0</v>
      </c>
    </row>
    <row r="287" spans="1:9">
      <c r="A287" s="21" t="s">
        <v>101</v>
      </c>
      <c r="B287" s="61" t="s">
        <v>18</v>
      </c>
      <c r="C287" s="61">
        <v>38337</v>
      </c>
      <c r="D287" s="61" t="s">
        <v>939</v>
      </c>
      <c r="E287" s="61" t="s">
        <v>10</v>
      </c>
      <c r="F287" s="61" t="s">
        <v>9</v>
      </c>
      <c r="G287" s="61">
        <v>150</v>
      </c>
      <c r="H287" s="63">
        <v>398.08</v>
      </c>
      <c r="I287" s="63">
        <v>0</v>
      </c>
    </row>
    <row r="288" spans="1:9">
      <c r="A288" s="58" t="s">
        <v>311</v>
      </c>
      <c r="B288" s="61" t="s">
        <v>22</v>
      </c>
      <c r="C288" s="61">
        <v>38817</v>
      </c>
      <c r="D288" s="61" t="s">
        <v>939</v>
      </c>
      <c r="E288" s="61" t="s">
        <v>10</v>
      </c>
      <c r="F288" s="61" t="s">
        <v>9</v>
      </c>
      <c r="G288" s="61">
        <v>150</v>
      </c>
      <c r="H288" s="63">
        <v>166.57</v>
      </c>
      <c r="I288" s="63">
        <v>68.48</v>
      </c>
    </row>
    <row r="289" spans="1:9">
      <c r="A289" s="58" t="s">
        <v>312</v>
      </c>
      <c r="B289" s="61" t="s">
        <v>22</v>
      </c>
      <c r="C289" s="61">
        <v>38939</v>
      </c>
      <c r="D289" s="61" t="s">
        <v>939</v>
      </c>
      <c r="E289" s="61" t="s">
        <v>10</v>
      </c>
      <c r="F289" s="61" t="s">
        <v>9</v>
      </c>
      <c r="G289" s="61">
        <v>150</v>
      </c>
      <c r="H289" s="63">
        <v>177.65</v>
      </c>
      <c r="I289" s="63">
        <v>68.48</v>
      </c>
    </row>
    <row r="290" spans="1:9">
      <c r="A290" s="21" t="s">
        <v>313</v>
      </c>
      <c r="B290" s="61" t="s">
        <v>22</v>
      </c>
      <c r="C290" s="61">
        <v>38945</v>
      </c>
      <c r="D290" s="61" t="s">
        <v>939</v>
      </c>
      <c r="E290" s="61" t="s">
        <v>10</v>
      </c>
      <c r="F290" s="61" t="s">
        <v>9</v>
      </c>
      <c r="G290" s="61">
        <v>150</v>
      </c>
      <c r="H290" s="63">
        <v>177.65</v>
      </c>
      <c r="I290" s="63">
        <v>68.48</v>
      </c>
    </row>
    <row r="291" spans="1:9">
      <c r="A291" s="21" t="s">
        <v>314</v>
      </c>
      <c r="B291" s="61" t="s">
        <v>941</v>
      </c>
      <c r="C291" s="61">
        <v>42130</v>
      </c>
      <c r="D291" s="61" t="s">
        <v>939</v>
      </c>
      <c r="E291" s="61" t="s">
        <v>23</v>
      </c>
      <c r="F291" s="61" t="s">
        <v>13</v>
      </c>
      <c r="G291" s="61">
        <v>150</v>
      </c>
      <c r="H291" s="63">
        <v>144.65</v>
      </c>
      <c r="I291" s="63">
        <v>83.74</v>
      </c>
    </row>
    <row r="292" spans="1:9">
      <c r="A292" s="10" t="s">
        <v>315</v>
      </c>
      <c r="B292" s="61" t="s">
        <v>941</v>
      </c>
      <c r="C292" s="61">
        <v>42130</v>
      </c>
      <c r="D292" s="61" t="s">
        <v>939</v>
      </c>
      <c r="E292" s="61" t="s">
        <v>23</v>
      </c>
      <c r="F292" s="61" t="s">
        <v>13</v>
      </c>
      <c r="G292" s="61">
        <v>150</v>
      </c>
      <c r="H292" s="63">
        <v>144.65</v>
      </c>
      <c r="I292" s="63">
        <v>83.74</v>
      </c>
    </row>
    <row r="293" spans="1:9">
      <c r="A293" s="21" t="s">
        <v>316</v>
      </c>
      <c r="B293" s="61" t="s">
        <v>8</v>
      </c>
      <c r="C293" s="61">
        <v>42142</v>
      </c>
      <c r="D293" s="61" t="s">
        <v>939</v>
      </c>
      <c r="E293" s="61" t="s">
        <v>12</v>
      </c>
      <c r="F293" s="61" t="s">
        <v>13</v>
      </c>
      <c r="G293" s="61">
        <v>150</v>
      </c>
      <c r="H293" s="63">
        <v>112.97</v>
      </c>
      <c r="I293" s="63">
        <v>6.54</v>
      </c>
    </row>
    <row r="294" spans="1:9">
      <c r="A294" s="21" t="s">
        <v>317</v>
      </c>
      <c r="B294" s="61" t="s">
        <v>8</v>
      </c>
      <c r="C294" s="61">
        <v>42188</v>
      </c>
      <c r="D294" s="61" t="s">
        <v>939</v>
      </c>
      <c r="E294" s="61" t="s">
        <v>12</v>
      </c>
      <c r="F294" s="61" t="s">
        <v>13</v>
      </c>
      <c r="G294" s="61">
        <v>150</v>
      </c>
      <c r="H294" s="63">
        <v>99.84</v>
      </c>
      <c r="I294" s="63">
        <v>9.24</v>
      </c>
    </row>
    <row r="295" spans="1:9">
      <c r="A295" s="21" t="s">
        <v>318</v>
      </c>
      <c r="B295" s="61" t="s">
        <v>8</v>
      </c>
      <c r="C295" s="61">
        <v>42188</v>
      </c>
      <c r="D295" s="61" t="s">
        <v>939</v>
      </c>
      <c r="E295" s="61" t="s">
        <v>12</v>
      </c>
      <c r="F295" s="61" t="s">
        <v>13</v>
      </c>
      <c r="G295" s="61">
        <v>150</v>
      </c>
      <c r="H295" s="63">
        <v>99.72</v>
      </c>
      <c r="I295" s="63">
        <v>9.24</v>
      </c>
    </row>
    <row r="296" spans="1:9">
      <c r="A296" s="21" t="s">
        <v>319</v>
      </c>
      <c r="B296" s="61" t="s">
        <v>8</v>
      </c>
      <c r="C296" s="61">
        <v>42188</v>
      </c>
      <c r="D296" s="61" t="s">
        <v>939</v>
      </c>
      <c r="E296" s="61" t="s">
        <v>12</v>
      </c>
      <c r="F296" s="61" t="s">
        <v>13</v>
      </c>
      <c r="G296" s="61">
        <v>150</v>
      </c>
      <c r="H296" s="63">
        <v>99.66</v>
      </c>
      <c r="I296" s="63">
        <v>8.76</v>
      </c>
    </row>
    <row r="297" spans="1:9">
      <c r="A297" s="21" t="s">
        <v>320</v>
      </c>
      <c r="B297" s="61" t="s">
        <v>951</v>
      </c>
      <c r="C297" s="61">
        <v>33869</v>
      </c>
      <c r="D297" s="61" t="s">
        <v>939</v>
      </c>
      <c r="E297" s="61" t="s">
        <v>947</v>
      </c>
      <c r="G297" s="61">
        <v>70</v>
      </c>
      <c r="H297" s="63">
        <v>121.81</v>
      </c>
    </row>
    <row r="298" spans="1:9">
      <c r="A298" s="21" t="s">
        <v>4</v>
      </c>
      <c r="B298" s="61" t="s">
        <v>951</v>
      </c>
      <c r="C298" s="61">
        <v>34899</v>
      </c>
      <c r="D298" s="61" t="s">
        <v>939</v>
      </c>
      <c r="E298" s="61" t="s">
        <v>947</v>
      </c>
      <c r="G298" s="61">
        <v>70</v>
      </c>
      <c r="H298" s="63">
        <v>112.6</v>
      </c>
    </row>
    <row r="299" spans="1:9">
      <c r="A299" s="21" t="s">
        <v>5</v>
      </c>
      <c r="B299" s="61" t="s">
        <v>951</v>
      </c>
      <c r="C299" s="61">
        <v>34962</v>
      </c>
      <c r="D299" s="61" t="s">
        <v>939</v>
      </c>
      <c r="E299" s="61" t="s">
        <v>947</v>
      </c>
      <c r="G299" s="61">
        <v>70</v>
      </c>
      <c r="H299" s="63">
        <v>123.9</v>
      </c>
    </row>
    <row r="300" spans="1:9">
      <c r="A300" s="21" t="s">
        <v>321</v>
      </c>
      <c r="B300" s="61" t="s">
        <v>951</v>
      </c>
      <c r="C300" s="61">
        <v>35360</v>
      </c>
      <c r="D300" s="61" t="s">
        <v>939</v>
      </c>
      <c r="E300" s="61" t="s">
        <v>947</v>
      </c>
      <c r="G300" s="61">
        <v>70</v>
      </c>
    </row>
    <row r="301" spans="1:9">
      <c r="A301" s="21" t="s">
        <v>322</v>
      </c>
      <c r="B301" s="61" t="s">
        <v>8</v>
      </c>
      <c r="C301" s="61">
        <v>38091</v>
      </c>
      <c r="D301" s="61" t="s">
        <v>939</v>
      </c>
      <c r="E301" s="61" t="s">
        <v>10</v>
      </c>
      <c r="F301" s="61" t="s">
        <v>9</v>
      </c>
      <c r="G301" s="61">
        <v>150</v>
      </c>
      <c r="H301" s="63">
        <v>154.99</v>
      </c>
      <c r="I301" s="63">
        <v>6.19</v>
      </c>
    </row>
    <row r="302" spans="1:9">
      <c r="A302" s="21" t="s">
        <v>323</v>
      </c>
      <c r="B302" s="61" t="s">
        <v>22</v>
      </c>
      <c r="C302" s="61">
        <v>38033</v>
      </c>
      <c r="D302" s="61" t="s">
        <v>939</v>
      </c>
      <c r="E302" s="61" t="s">
        <v>10</v>
      </c>
      <c r="F302" s="61" t="s">
        <v>9</v>
      </c>
      <c r="G302" s="61">
        <v>150</v>
      </c>
      <c r="H302" s="63">
        <v>376.25</v>
      </c>
      <c r="I302" s="63">
        <v>130.94999999999999</v>
      </c>
    </row>
    <row r="303" spans="1:9">
      <c r="A303" s="21" t="s">
        <v>265</v>
      </c>
      <c r="B303" s="61" t="s">
        <v>945</v>
      </c>
      <c r="C303" s="61">
        <v>38789</v>
      </c>
      <c r="D303" s="61" t="s">
        <v>939</v>
      </c>
      <c r="E303" s="61" t="s">
        <v>10</v>
      </c>
      <c r="F303" s="61" t="s">
        <v>9</v>
      </c>
      <c r="G303" s="61">
        <v>70</v>
      </c>
      <c r="H303" s="63">
        <v>295.95999999999998</v>
      </c>
      <c r="I303" s="63">
        <v>184.75</v>
      </c>
    </row>
    <row r="304" spans="1:9">
      <c r="A304" s="21" t="s">
        <v>254</v>
      </c>
      <c r="B304" s="61" t="s">
        <v>945</v>
      </c>
      <c r="C304" s="61">
        <v>39435</v>
      </c>
      <c r="D304" s="61" t="s">
        <v>939</v>
      </c>
      <c r="E304" s="61" t="s">
        <v>10</v>
      </c>
      <c r="F304" s="61" t="s">
        <v>9</v>
      </c>
      <c r="G304" s="61">
        <v>70</v>
      </c>
      <c r="H304" s="63">
        <v>295.95999999999998</v>
      </c>
      <c r="I304" s="63">
        <v>184.75</v>
      </c>
    </row>
    <row r="305" spans="1:9">
      <c r="A305" s="58" t="s">
        <v>326</v>
      </c>
      <c r="B305" s="61" t="s">
        <v>945</v>
      </c>
      <c r="C305" s="61">
        <v>39959</v>
      </c>
      <c r="D305" s="61" t="s">
        <v>939</v>
      </c>
      <c r="E305" s="61" t="s">
        <v>23</v>
      </c>
      <c r="F305" s="61" t="s">
        <v>13</v>
      </c>
      <c r="G305" s="61">
        <v>150</v>
      </c>
      <c r="H305" s="63">
        <v>299.32</v>
      </c>
      <c r="I305" s="63">
        <v>241.75</v>
      </c>
    </row>
    <row r="306" spans="1:9">
      <c r="A306" s="10" t="s">
        <v>255</v>
      </c>
      <c r="B306" s="61" t="s">
        <v>945</v>
      </c>
      <c r="C306" s="61">
        <v>39945</v>
      </c>
      <c r="D306" s="61" t="s">
        <v>939</v>
      </c>
      <c r="E306" s="61" t="s">
        <v>23</v>
      </c>
      <c r="F306" s="61" t="s">
        <v>13</v>
      </c>
      <c r="G306" s="61">
        <v>150</v>
      </c>
      <c r="H306" s="63">
        <v>191.27</v>
      </c>
      <c r="I306" s="63">
        <v>134.38</v>
      </c>
    </row>
    <row r="307" spans="1:9">
      <c r="A307" s="58" t="s">
        <v>328</v>
      </c>
      <c r="B307" s="61" t="s">
        <v>941</v>
      </c>
      <c r="C307" s="61">
        <v>39993</v>
      </c>
      <c r="D307" s="61" t="s">
        <v>939</v>
      </c>
      <c r="E307" s="61" t="s">
        <v>23</v>
      </c>
      <c r="F307" s="61" t="s">
        <v>13</v>
      </c>
      <c r="G307" s="61">
        <v>150</v>
      </c>
      <c r="H307" s="63">
        <v>192.17</v>
      </c>
      <c r="I307" s="63">
        <v>123.84</v>
      </c>
    </row>
    <row r="308" spans="1:9">
      <c r="A308" s="21" t="s">
        <v>253</v>
      </c>
      <c r="B308" s="61" t="s">
        <v>941</v>
      </c>
      <c r="C308" s="61">
        <v>39993</v>
      </c>
      <c r="D308" s="61" t="s">
        <v>939</v>
      </c>
      <c r="E308" s="61" t="s">
        <v>23</v>
      </c>
      <c r="F308" s="61" t="s">
        <v>13</v>
      </c>
      <c r="G308" s="61">
        <v>150</v>
      </c>
      <c r="H308" s="63">
        <v>188.67</v>
      </c>
      <c r="I308" s="63">
        <v>123.84</v>
      </c>
    </row>
    <row r="309" spans="1:9">
      <c r="A309" s="29" t="s">
        <v>330</v>
      </c>
      <c r="B309" s="61" t="s">
        <v>941</v>
      </c>
      <c r="C309" s="61">
        <v>40060</v>
      </c>
      <c r="D309" s="61" t="s">
        <v>939</v>
      </c>
      <c r="E309" s="61" t="s">
        <v>23</v>
      </c>
      <c r="F309" s="61" t="s">
        <v>13</v>
      </c>
      <c r="G309" s="61">
        <v>150</v>
      </c>
      <c r="H309" s="63">
        <v>188.67</v>
      </c>
      <c r="I309" s="63">
        <v>127.2</v>
      </c>
    </row>
    <row r="310" spans="1:9">
      <c r="A310" s="10" t="s">
        <v>331</v>
      </c>
      <c r="B310" s="61" t="s">
        <v>945</v>
      </c>
      <c r="C310" s="61">
        <v>40773</v>
      </c>
      <c r="D310" s="61" t="s">
        <v>939</v>
      </c>
      <c r="E310" s="61" t="s">
        <v>23</v>
      </c>
      <c r="F310" s="61" t="s">
        <v>13</v>
      </c>
      <c r="G310" s="61">
        <v>150</v>
      </c>
      <c r="H310" s="63">
        <v>196.41</v>
      </c>
      <c r="I310" s="63">
        <v>132.13</v>
      </c>
    </row>
    <row r="311" spans="1:9">
      <c r="A311" s="10" t="s">
        <v>332</v>
      </c>
      <c r="B311" s="61" t="s">
        <v>945</v>
      </c>
      <c r="C311" s="61">
        <v>41109</v>
      </c>
      <c r="D311" s="61" t="s">
        <v>939</v>
      </c>
      <c r="E311" s="61" t="s">
        <v>23</v>
      </c>
      <c r="F311" s="61" t="s">
        <v>13</v>
      </c>
      <c r="G311" s="61">
        <v>150</v>
      </c>
      <c r="H311" s="63">
        <v>197</v>
      </c>
      <c r="I311" s="63">
        <v>132.13</v>
      </c>
    </row>
    <row r="312" spans="1:9">
      <c r="A312" s="10" t="s">
        <v>0</v>
      </c>
      <c r="B312" s="61" t="s">
        <v>941</v>
      </c>
      <c r="C312" s="61">
        <v>41121</v>
      </c>
      <c r="D312" s="61" t="s">
        <v>939</v>
      </c>
      <c r="E312" s="61" t="s">
        <v>23</v>
      </c>
      <c r="F312" s="61" t="s">
        <v>13</v>
      </c>
      <c r="G312" s="61">
        <v>150</v>
      </c>
      <c r="H312" s="63">
        <v>193.64</v>
      </c>
      <c r="I312" s="63">
        <v>135.1</v>
      </c>
    </row>
    <row r="313" spans="1:9">
      <c r="A313" s="10" t="s">
        <v>333</v>
      </c>
      <c r="B313" s="61" t="s">
        <v>941</v>
      </c>
      <c r="C313" s="61">
        <v>41254</v>
      </c>
      <c r="D313" s="61" t="s">
        <v>939</v>
      </c>
      <c r="E313" s="61" t="s">
        <v>944</v>
      </c>
      <c r="F313" s="61" t="s">
        <v>13</v>
      </c>
      <c r="G313" s="61">
        <v>150</v>
      </c>
      <c r="H313" s="63">
        <v>195.68</v>
      </c>
      <c r="I313" s="63">
        <v>135.44</v>
      </c>
    </row>
    <row r="314" spans="1:9">
      <c r="A314" s="21" t="s">
        <v>25</v>
      </c>
      <c r="B314" s="61" t="s">
        <v>941</v>
      </c>
      <c r="C314" s="61">
        <v>41351</v>
      </c>
      <c r="D314" s="61" t="s">
        <v>939</v>
      </c>
      <c r="E314" s="61" t="s">
        <v>944</v>
      </c>
      <c r="F314" s="61" t="s">
        <v>13</v>
      </c>
      <c r="G314" s="61">
        <v>150</v>
      </c>
      <c r="H314" s="63">
        <v>191.24</v>
      </c>
      <c r="I314" s="63">
        <v>138.02000000000001</v>
      </c>
    </row>
    <row r="315" spans="1:9">
      <c r="A315" s="21" t="s">
        <v>368</v>
      </c>
      <c r="B315" s="61" t="s">
        <v>941</v>
      </c>
      <c r="C315" s="61">
        <v>41645</v>
      </c>
      <c r="D315" s="61" t="s">
        <v>939</v>
      </c>
      <c r="E315" s="61" t="s">
        <v>944</v>
      </c>
      <c r="F315" s="61" t="s">
        <v>13</v>
      </c>
      <c r="G315" s="61">
        <v>150</v>
      </c>
      <c r="H315" s="63">
        <v>191.24</v>
      </c>
      <c r="I315" s="63">
        <v>138.02000000000001</v>
      </c>
    </row>
    <row r="316" spans="1:9">
      <c r="A316" s="10" t="s">
        <v>335</v>
      </c>
      <c r="B316" s="61" t="s">
        <v>941</v>
      </c>
      <c r="C316" s="61">
        <v>40773</v>
      </c>
      <c r="D316" s="61" t="s">
        <v>939</v>
      </c>
      <c r="E316" s="61" t="s">
        <v>23</v>
      </c>
      <c r="F316" s="61" t="s">
        <v>13</v>
      </c>
      <c r="G316" s="61">
        <v>150</v>
      </c>
      <c r="H316" s="63">
        <v>129.63999999999999</v>
      </c>
      <c r="I316" s="63">
        <v>98.22</v>
      </c>
    </row>
    <row r="317" spans="1:9">
      <c r="A317" s="10" t="s">
        <v>336</v>
      </c>
      <c r="B317" s="61" t="s">
        <v>941</v>
      </c>
      <c r="C317" s="61">
        <v>40773</v>
      </c>
      <c r="D317" s="61" t="s">
        <v>939</v>
      </c>
      <c r="E317" s="61" t="s">
        <v>23</v>
      </c>
      <c r="F317" s="61" t="s">
        <v>13</v>
      </c>
      <c r="G317" s="61">
        <v>150</v>
      </c>
      <c r="H317" s="63">
        <v>129.63999999999999</v>
      </c>
      <c r="I317" s="63">
        <v>98.22</v>
      </c>
    </row>
    <row r="318" spans="1:9">
      <c r="A318" s="10" t="s">
        <v>337</v>
      </c>
      <c r="B318" s="61" t="s">
        <v>941</v>
      </c>
      <c r="C318" s="61">
        <v>40842</v>
      </c>
      <c r="D318" s="61" t="s">
        <v>939</v>
      </c>
      <c r="E318" s="61" t="s">
        <v>23</v>
      </c>
      <c r="F318" s="61" t="s">
        <v>13</v>
      </c>
      <c r="G318" s="61">
        <v>150</v>
      </c>
      <c r="H318" s="63">
        <v>132.62</v>
      </c>
      <c r="I318" s="63">
        <v>69.59</v>
      </c>
    </row>
    <row r="319" spans="1:9">
      <c r="A319" s="10" t="s">
        <v>338</v>
      </c>
      <c r="B319" s="61" t="s">
        <v>941</v>
      </c>
      <c r="C319" s="61">
        <v>40842</v>
      </c>
      <c r="D319" s="61" t="s">
        <v>939</v>
      </c>
      <c r="E319" s="61" t="s">
        <v>23</v>
      </c>
      <c r="F319" s="61" t="s">
        <v>13</v>
      </c>
      <c r="G319" s="61">
        <v>150</v>
      </c>
      <c r="H319" s="63">
        <v>132.62</v>
      </c>
      <c r="I319" s="63">
        <v>69.59</v>
      </c>
    </row>
    <row r="320" spans="1:9">
      <c r="A320" s="21" t="s">
        <v>371</v>
      </c>
      <c r="B320" s="61" t="s">
        <v>941</v>
      </c>
      <c r="C320" s="61">
        <v>40948</v>
      </c>
      <c r="D320" s="61" t="s">
        <v>939</v>
      </c>
      <c r="E320" s="61" t="s">
        <v>23</v>
      </c>
      <c r="F320" s="61" t="s">
        <v>13</v>
      </c>
      <c r="G320" s="61">
        <v>150</v>
      </c>
      <c r="H320" s="63">
        <v>132.62</v>
      </c>
      <c r="I320" s="63">
        <v>69.59</v>
      </c>
    </row>
    <row r="321" spans="1:9">
      <c r="A321" s="21" t="s">
        <v>340</v>
      </c>
      <c r="B321" s="61" t="s">
        <v>941</v>
      </c>
      <c r="C321" s="61">
        <v>41225</v>
      </c>
      <c r="D321" s="61" t="s">
        <v>939</v>
      </c>
      <c r="E321" s="61" t="s">
        <v>944</v>
      </c>
      <c r="F321" s="61" t="s">
        <v>13</v>
      </c>
      <c r="G321" s="61">
        <v>150</v>
      </c>
      <c r="H321" s="63">
        <v>134.72</v>
      </c>
      <c r="I321" s="63">
        <v>78.92</v>
      </c>
    </row>
    <row r="322" spans="1:9">
      <c r="A322" s="21" t="s">
        <v>341</v>
      </c>
      <c r="B322" s="61" t="s">
        <v>941</v>
      </c>
      <c r="C322" s="61">
        <v>41225</v>
      </c>
      <c r="D322" s="61" t="s">
        <v>939</v>
      </c>
      <c r="E322" s="61" t="s">
        <v>944</v>
      </c>
      <c r="F322" s="61" t="s">
        <v>13</v>
      </c>
      <c r="G322" s="61">
        <v>150</v>
      </c>
      <c r="H322" s="63">
        <v>134.72</v>
      </c>
      <c r="I322" s="63">
        <v>78.92</v>
      </c>
    </row>
    <row r="323" spans="1:9">
      <c r="A323" s="10" t="s">
        <v>102</v>
      </c>
      <c r="B323" s="61" t="s">
        <v>941</v>
      </c>
      <c r="C323" s="61">
        <v>41262</v>
      </c>
      <c r="D323" s="61" t="s">
        <v>939</v>
      </c>
      <c r="E323" s="61" t="s">
        <v>944</v>
      </c>
      <c r="F323" s="61" t="s">
        <v>73</v>
      </c>
      <c r="G323" s="61">
        <v>150</v>
      </c>
      <c r="H323" s="63">
        <v>134.72</v>
      </c>
      <c r="I323" s="63">
        <v>78.92</v>
      </c>
    </row>
    <row r="324" spans="1:9">
      <c r="A324" s="10" t="s">
        <v>296</v>
      </c>
      <c r="B324" s="61" t="s">
        <v>941</v>
      </c>
      <c r="C324" s="61">
        <v>41479</v>
      </c>
      <c r="D324" s="61" t="s">
        <v>939</v>
      </c>
      <c r="E324" s="61" t="s">
        <v>952</v>
      </c>
      <c r="F324" s="61" t="s">
        <v>32</v>
      </c>
      <c r="G324" s="61">
        <v>150</v>
      </c>
      <c r="H324" s="63">
        <v>134.72</v>
      </c>
      <c r="I324" s="63">
        <v>78.92</v>
      </c>
    </row>
    <row r="325" spans="1:9">
      <c r="A325" s="21" t="s">
        <v>344</v>
      </c>
      <c r="B325" s="61" t="s">
        <v>941</v>
      </c>
      <c r="C325" s="61">
        <v>41292</v>
      </c>
      <c r="D325" s="61" t="s">
        <v>939</v>
      </c>
      <c r="E325" s="61" t="s">
        <v>944</v>
      </c>
      <c r="F325" s="61" t="s">
        <v>13</v>
      </c>
      <c r="G325" s="61">
        <v>150</v>
      </c>
      <c r="H325" s="63">
        <v>133.35</v>
      </c>
      <c r="I325" s="63">
        <v>78.92</v>
      </c>
    </row>
    <row r="326" spans="1:9">
      <c r="A326" s="10" t="s">
        <v>345</v>
      </c>
      <c r="B326" s="61" t="s">
        <v>941</v>
      </c>
      <c r="C326" s="61">
        <v>41409</v>
      </c>
      <c r="D326" s="61" t="s">
        <v>939</v>
      </c>
      <c r="E326" s="61" t="s">
        <v>952</v>
      </c>
      <c r="F326" s="61" t="s">
        <v>32</v>
      </c>
      <c r="G326" s="61">
        <v>150</v>
      </c>
      <c r="H326" s="63">
        <v>133.35</v>
      </c>
      <c r="I326" s="63">
        <v>78.92</v>
      </c>
    </row>
    <row r="327" spans="1:9">
      <c r="A327" s="10" t="s">
        <v>111</v>
      </c>
      <c r="B327" s="61" t="s">
        <v>941</v>
      </c>
      <c r="C327" s="61">
        <v>41394</v>
      </c>
      <c r="D327" s="61" t="s">
        <v>939</v>
      </c>
      <c r="E327" s="61" t="s">
        <v>944</v>
      </c>
      <c r="F327" s="61" t="s">
        <v>13</v>
      </c>
      <c r="G327" s="61">
        <v>150</v>
      </c>
      <c r="H327" s="63">
        <v>132.30000000000001</v>
      </c>
      <c r="I327" s="63">
        <v>78.92</v>
      </c>
    </row>
    <row r="328" spans="1:9">
      <c r="A328" s="21" t="s">
        <v>98</v>
      </c>
      <c r="B328" s="61" t="s">
        <v>941</v>
      </c>
      <c r="C328" s="61">
        <v>41394</v>
      </c>
      <c r="D328" s="61" t="s">
        <v>939</v>
      </c>
      <c r="E328" s="61" t="s">
        <v>944</v>
      </c>
      <c r="F328" s="61" t="s">
        <v>13</v>
      </c>
      <c r="G328" s="61">
        <v>150</v>
      </c>
      <c r="H328" s="63">
        <v>132.30000000000001</v>
      </c>
      <c r="I328" s="63">
        <v>78.92</v>
      </c>
    </row>
    <row r="329" spans="1:9">
      <c r="A329" s="21" t="s">
        <v>348</v>
      </c>
      <c r="B329" s="61" t="s">
        <v>941</v>
      </c>
      <c r="C329" s="61">
        <v>41394</v>
      </c>
      <c r="D329" s="61" t="s">
        <v>939</v>
      </c>
      <c r="E329" s="61" t="s">
        <v>944</v>
      </c>
      <c r="F329" s="61" t="s">
        <v>13</v>
      </c>
      <c r="G329" s="61">
        <v>150</v>
      </c>
      <c r="H329" s="63">
        <v>133.22</v>
      </c>
      <c r="I329" s="63">
        <v>78.92</v>
      </c>
    </row>
    <row r="330" spans="1:9">
      <c r="A330" s="21" t="s">
        <v>349</v>
      </c>
      <c r="B330" s="61" t="s">
        <v>941</v>
      </c>
      <c r="C330" s="61">
        <v>41394</v>
      </c>
      <c r="D330" s="61" t="s">
        <v>939</v>
      </c>
      <c r="E330" s="61" t="s">
        <v>944</v>
      </c>
      <c r="F330" s="61" t="s">
        <v>13</v>
      </c>
      <c r="G330" s="61">
        <v>150</v>
      </c>
      <c r="H330" s="63">
        <v>133.22</v>
      </c>
      <c r="I330" s="63">
        <v>78.92</v>
      </c>
    </row>
    <row r="331" spans="1:9">
      <c r="A331" s="10" t="s">
        <v>350</v>
      </c>
      <c r="B331" s="61" t="s">
        <v>941</v>
      </c>
      <c r="C331" s="61">
        <v>41449</v>
      </c>
      <c r="D331" s="61" t="s">
        <v>939</v>
      </c>
      <c r="E331" s="61" t="s">
        <v>944</v>
      </c>
      <c r="F331" s="61" t="s">
        <v>73</v>
      </c>
      <c r="G331" s="61">
        <v>150</v>
      </c>
      <c r="H331" s="63">
        <v>134.72</v>
      </c>
      <c r="I331" s="63">
        <v>79.34</v>
      </c>
    </row>
    <row r="332" spans="1:9">
      <c r="A332" s="10" t="s">
        <v>110</v>
      </c>
      <c r="B332" s="61" t="s">
        <v>941</v>
      </c>
      <c r="C332" s="61">
        <v>41745</v>
      </c>
      <c r="D332" s="61" t="s">
        <v>939</v>
      </c>
      <c r="E332" s="61" t="s">
        <v>952</v>
      </c>
      <c r="F332" s="61" t="s">
        <v>32</v>
      </c>
      <c r="G332" s="61">
        <v>150</v>
      </c>
      <c r="H332" s="63">
        <v>134.72</v>
      </c>
      <c r="I332" s="63">
        <v>79.34</v>
      </c>
    </row>
    <row r="333" spans="1:9">
      <c r="A333" s="21" t="s">
        <v>352</v>
      </c>
      <c r="B333" s="61" t="s">
        <v>941</v>
      </c>
      <c r="C333" s="61">
        <v>41541</v>
      </c>
      <c r="D333" s="61" t="s">
        <v>939</v>
      </c>
      <c r="E333" s="61" t="s">
        <v>944</v>
      </c>
      <c r="F333" s="61" t="s">
        <v>73</v>
      </c>
      <c r="G333" s="61">
        <v>150</v>
      </c>
      <c r="H333" s="63">
        <v>131.63999999999999</v>
      </c>
      <c r="I333" s="63">
        <v>78.92</v>
      </c>
    </row>
    <row r="334" spans="1:9">
      <c r="A334" s="21" t="s">
        <v>353</v>
      </c>
      <c r="B334" s="61" t="s">
        <v>941</v>
      </c>
      <c r="C334" s="61">
        <v>41670</v>
      </c>
      <c r="D334" s="61" t="s">
        <v>939</v>
      </c>
      <c r="E334" s="61" t="s">
        <v>944</v>
      </c>
      <c r="F334" s="61" t="s">
        <v>73</v>
      </c>
      <c r="G334" s="61">
        <v>150</v>
      </c>
      <c r="H334" s="63">
        <v>131.9</v>
      </c>
      <c r="I334" s="63">
        <v>78.92</v>
      </c>
    </row>
    <row r="335" spans="1:9">
      <c r="A335" s="21" t="s">
        <v>388</v>
      </c>
      <c r="B335" s="61" t="s">
        <v>941</v>
      </c>
      <c r="C335" s="61">
        <v>41670</v>
      </c>
      <c r="D335" s="61" t="s">
        <v>939</v>
      </c>
      <c r="E335" s="61" t="s">
        <v>944</v>
      </c>
      <c r="F335" s="61" t="s">
        <v>73</v>
      </c>
      <c r="G335" s="61">
        <v>150</v>
      </c>
      <c r="H335" s="63">
        <v>131.79</v>
      </c>
      <c r="I335" s="63">
        <v>78.92</v>
      </c>
    </row>
    <row r="336" spans="1:9">
      <c r="A336" s="21" t="s">
        <v>355</v>
      </c>
      <c r="B336" s="61" t="s">
        <v>941</v>
      </c>
      <c r="C336" s="61">
        <v>41751</v>
      </c>
      <c r="D336" s="61" t="s">
        <v>939</v>
      </c>
      <c r="E336" s="61" t="s">
        <v>944</v>
      </c>
      <c r="F336" s="61" t="s">
        <v>73</v>
      </c>
      <c r="G336" s="61">
        <v>150</v>
      </c>
      <c r="H336" s="63">
        <v>134.72</v>
      </c>
      <c r="I336" s="63">
        <v>74.91</v>
      </c>
    </row>
    <row r="337" spans="1:9">
      <c r="A337" s="21" t="s">
        <v>356</v>
      </c>
      <c r="B337" s="61" t="s">
        <v>941</v>
      </c>
      <c r="C337" s="61">
        <v>41751</v>
      </c>
      <c r="D337" s="61" t="s">
        <v>939</v>
      </c>
      <c r="E337" s="61" t="s">
        <v>952</v>
      </c>
      <c r="F337" s="61" t="s">
        <v>32</v>
      </c>
      <c r="G337" s="61">
        <v>150</v>
      </c>
      <c r="H337" s="63">
        <v>134.72</v>
      </c>
      <c r="I337" s="63">
        <v>74.91</v>
      </c>
    </row>
    <row r="338" spans="1:9">
      <c r="A338" s="21" t="s">
        <v>127</v>
      </c>
      <c r="B338" s="61" t="s">
        <v>945</v>
      </c>
      <c r="C338" s="61">
        <v>39482</v>
      </c>
      <c r="D338" s="61" t="s">
        <v>939</v>
      </c>
      <c r="E338" s="61" t="s">
        <v>10</v>
      </c>
      <c r="F338" s="61" t="s">
        <v>9</v>
      </c>
      <c r="G338" s="61">
        <v>70</v>
      </c>
      <c r="H338" s="63">
        <v>103.1</v>
      </c>
      <c r="I338" s="63">
        <v>26.46</v>
      </c>
    </row>
    <row r="339" spans="1:9">
      <c r="A339" s="21" t="s">
        <v>358</v>
      </c>
      <c r="B339" s="61" t="s">
        <v>941</v>
      </c>
      <c r="C339" s="61">
        <v>40011</v>
      </c>
      <c r="D339" s="61" t="s">
        <v>939</v>
      </c>
      <c r="E339" s="61" t="s">
        <v>23</v>
      </c>
      <c r="F339" s="61" t="s">
        <v>13</v>
      </c>
      <c r="G339" s="61">
        <v>150</v>
      </c>
      <c r="H339" s="63">
        <v>112.81</v>
      </c>
      <c r="I339" s="63">
        <v>75.510000000000005</v>
      </c>
    </row>
    <row r="340" spans="1:9">
      <c r="A340" s="21" t="s">
        <v>359</v>
      </c>
      <c r="B340" s="61" t="s">
        <v>941</v>
      </c>
      <c r="C340" s="61">
        <v>40088</v>
      </c>
      <c r="D340" s="61" t="s">
        <v>939</v>
      </c>
      <c r="E340" s="61" t="s">
        <v>23</v>
      </c>
      <c r="F340" s="61" t="s">
        <v>13</v>
      </c>
      <c r="G340" s="61">
        <v>150</v>
      </c>
      <c r="H340" s="63">
        <v>112.81</v>
      </c>
      <c r="I340" s="63">
        <v>75.510000000000005</v>
      </c>
    </row>
    <row r="341" spans="1:9">
      <c r="A341" s="10" t="s">
        <v>105</v>
      </c>
      <c r="B341" s="61" t="s">
        <v>941</v>
      </c>
      <c r="C341" s="61">
        <v>41061</v>
      </c>
      <c r="D341" s="61" t="s">
        <v>939</v>
      </c>
      <c r="E341" s="61" t="s">
        <v>23</v>
      </c>
      <c r="F341" s="61" t="s">
        <v>13</v>
      </c>
      <c r="G341" s="61">
        <v>150</v>
      </c>
      <c r="H341" s="63">
        <v>112.81</v>
      </c>
      <c r="I341" s="63">
        <v>75.510000000000005</v>
      </c>
    </row>
    <row r="342" spans="1:9">
      <c r="A342" s="10" t="s">
        <v>361</v>
      </c>
      <c r="B342" s="61" t="s">
        <v>941</v>
      </c>
      <c r="C342" s="61">
        <v>40772</v>
      </c>
      <c r="D342" s="61" t="s">
        <v>939</v>
      </c>
      <c r="E342" s="61" t="s">
        <v>944</v>
      </c>
      <c r="F342" s="61" t="s">
        <v>13</v>
      </c>
      <c r="G342" s="61">
        <v>150</v>
      </c>
      <c r="H342" s="63">
        <v>112.81</v>
      </c>
      <c r="I342" s="63">
        <v>58.48</v>
      </c>
    </row>
    <row r="343" spans="1:9">
      <c r="A343" s="10" t="s">
        <v>362</v>
      </c>
      <c r="B343" s="61" t="s">
        <v>941</v>
      </c>
      <c r="C343" s="61">
        <v>39944</v>
      </c>
      <c r="D343" s="61" t="s">
        <v>939</v>
      </c>
      <c r="E343" s="61" t="s">
        <v>23</v>
      </c>
      <c r="F343" s="61" t="s">
        <v>13</v>
      </c>
      <c r="G343" s="61">
        <v>150</v>
      </c>
      <c r="H343" s="63">
        <v>385.3</v>
      </c>
      <c r="I343" s="63">
        <v>236.56</v>
      </c>
    </row>
    <row r="344" spans="1:9">
      <c r="A344" s="21" t="s">
        <v>357</v>
      </c>
      <c r="B344" s="61" t="s">
        <v>941</v>
      </c>
      <c r="C344" s="61">
        <v>39944</v>
      </c>
      <c r="D344" s="61" t="s">
        <v>939</v>
      </c>
      <c r="E344" s="61" t="s">
        <v>23</v>
      </c>
      <c r="F344" s="61" t="s">
        <v>13</v>
      </c>
      <c r="G344" s="61">
        <v>150</v>
      </c>
      <c r="H344" s="63">
        <v>385.3</v>
      </c>
      <c r="I344" s="63">
        <v>236.56</v>
      </c>
    </row>
    <row r="345" spans="1:9">
      <c r="A345" s="21" t="s">
        <v>364</v>
      </c>
      <c r="B345" s="61" t="s">
        <v>941</v>
      </c>
      <c r="C345" s="61">
        <v>39944</v>
      </c>
      <c r="D345" s="61" t="s">
        <v>939</v>
      </c>
      <c r="E345" s="61" t="s">
        <v>23</v>
      </c>
      <c r="F345" s="61" t="s">
        <v>13</v>
      </c>
      <c r="G345" s="61">
        <v>150</v>
      </c>
      <c r="H345" s="63">
        <v>381.32</v>
      </c>
      <c r="I345" s="63">
        <v>230.42</v>
      </c>
    </row>
    <row r="346" spans="1:9">
      <c r="A346" s="21" t="s">
        <v>365</v>
      </c>
      <c r="B346" s="61" t="s">
        <v>941</v>
      </c>
      <c r="C346" s="61">
        <v>39944</v>
      </c>
      <c r="D346" s="61" t="s">
        <v>939</v>
      </c>
      <c r="E346" s="61" t="s">
        <v>23</v>
      </c>
      <c r="F346" s="61" t="s">
        <v>13</v>
      </c>
      <c r="G346" s="61">
        <v>150</v>
      </c>
      <c r="H346" s="63">
        <v>381.32</v>
      </c>
      <c r="I346" s="63">
        <v>230.42</v>
      </c>
    </row>
    <row r="347" spans="1:9">
      <c r="A347" s="21" t="s">
        <v>366</v>
      </c>
      <c r="B347" s="61" t="s">
        <v>941</v>
      </c>
      <c r="C347" s="61">
        <v>40045</v>
      </c>
      <c r="D347" s="61" t="s">
        <v>939</v>
      </c>
      <c r="E347" s="61" t="s">
        <v>23</v>
      </c>
      <c r="F347" s="61" t="s">
        <v>13</v>
      </c>
      <c r="G347" s="61">
        <v>150</v>
      </c>
      <c r="H347" s="63">
        <v>55.08</v>
      </c>
      <c r="I347" s="63">
        <v>22.99</v>
      </c>
    </row>
    <row r="348" spans="1:9">
      <c r="A348" s="21" t="s">
        <v>367</v>
      </c>
      <c r="B348" s="61" t="s">
        <v>8</v>
      </c>
      <c r="C348" s="61">
        <v>41026</v>
      </c>
      <c r="D348" s="61" t="s">
        <v>939</v>
      </c>
      <c r="E348" s="61" t="s">
        <v>12</v>
      </c>
      <c r="F348" s="61" t="s">
        <v>13</v>
      </c>
      <c r="G348" s="61">
        <v>150</v>
      </c>
      <c r="H348" s="63">
        <v>135.95500000000001</v>
      </c>
      <c r="I348" s="63">
        <v>3.1360000000000001</v>
      </c>
    </row>
    <row r="349" spans="1:9">
      <c r="A349" s="21" t="s">
        <v>339</v>
      </c>
      <c r="B349" s="61" t="s">
        <v>8</v>
      </c>
      <c r="C349" s="61">
        <v>41354</v>
      </c>
      <c r="D349" s="61" t="s">
        <v>939</v>
      </c>
      <c r="E349" s="61" t="s">
        <v>12</v>
      </c>
      <c r="F349" s="61" t="s">
        <v>13</v>
      </c>
      <c r="G349" s="61">
        <v>150</v>
      </c>
      <c r="H349" s="63">
        <v>135.41999999999999</v>
      </c>
      <c r="I349" s="63">
        <v>3.1360000000000001</v>
      </c>
    </row>
    <row r="350" spans="1:9">
      <c r="A350" s="10" t="s">
        <v>369</v>
      </c>
      <c r="B350" s="61" t="s">
        <v>22</v>
      </c>
      <c r="C350" s="61">
        <v>41283</v>
      </c>
      <c r="D350" s="61" t="s">
        <v>939</v>
      </c>
      <c r="E350" s="61" t="s">
        <v>23</v>
      </c>
      <c r="F350" s="61" t="s">
        <v>73</v>
      </c>
      <c r="G350" s="61">
        <v>150</v>
      </c>
      <c r="H350" s="63">
        <v>144.21</v>
      </c>
      <c r="I350" s="63">
        <v>111.84</v>
      </c>
    </row>
    <row r="351" spans="1:9">
      <c r="A351" s="21" t="s">
        <v>370</v>
      </c>
      <c r="B351" s="61" t="s">
        <v>22</v>
      </c>
      <c r="C351" s="61">
        <v>41284</v>
      </c>
      <c r="D351" s="61" t="s">
        <v>939</v>
      </c>
      <c r="E351" s="61" t="s">
        <v>23</v>
      </c>
      <c r="F351" s="61" t="s">
        <v>73</v>
      </c>
      <c r="G351" s="61">
        <v>150</v>
      </c>
      <c r="H351" s="63">
        <v>144.21</v>
      </c>
      <c r="I351" s="63">
        <v>124.28</v>
      </c>
    </row>
    <row r="352" spans="1:9">
      <c r="A352" s="21" t="s">
        <v>215</v>
      </c>
      <c r="B352" s="61" t="s">
        <v>22</v>
      </c>
      <c r="C352" s="61">
        <v>41387</v>
      </c>
      <c r="D352" s="61" t="s">
        <v>939</v>
      </c>
      <c r="E352" s="61" t="s">
        <v>23</v>
      </c>
      <c r="F352" s="61" t="s">
        <v>73</v>
      </c>
      <c r="G352" s="61">
        <v>150</v>
      </c>
      <c r="H352" s="63">
        <v>144.88999999999999</v>
      </c>
      <c r="I352" s="63">
        <v>123.21</v>
      </c>
    </row>
    <row r="353" spans="1:9">
      <c r="A353" s="21" t="s">
        <v>372</v>
      </c>
      <c r="B353" s="61" t="s">
        <v>22</v>
      </c>
      <c r="C353" s="61">
        <v>41520</v>
      </c>
      <c r="D353" s="61" t="s">
        <v>939</v>
      </c>
      <c r="E353" s="61" t="s">
        <v>23</v>
      </c>
      <c r="F353" s="61" t="s">
        <v>73</v>
      </c>
      <c r="G353" s="61">
        <v>150</v>
      </c>
      <c r="H353" s="63">
        <v>144.88999999999999</v>
      </c>
      <c r="I353" s="63">
        <v>125.21</v>
      </c>
    </row>
    <row r="354" spans="1:9">
      <c r="A354" s="21" t="s">
        <v>373</v>
      </c>
      <c r="B354" s="61" t="s">
        <v>945</v>
      </c>
      <c r="C354" s="61">
        <v>41955</v>
      </c>
      <c r="D354" s="61" t="s">
        <v>939</v>
      </c>
      <c r="E354" s="61" t="s">
        <v>944</v>
      </c>
      <c r="F354" s="61" t="s">
        <v>13</v>
      </c>
      <c r="G354" s="61">
        <v>150</v>
      </c>
      <c r="H354" s="63">
        <v>101.9</v>
      </c>
      <c r="I354" s="63">
        <v>67.58</v>
      </c>
    </row>
    <row r="355" spans="1:9">
      <c r="A355" s="10" t="s">
        <v>1</v>
      </c>
      <c r="B355" s="61" t="s">
        <v>941</v>
      </c>
      <c r="C355" s="61">
        <v>41955</v>
      </c>
      <c r="D355" s="61" t="s">
        <v>939</v>
      </c>
      <c r="E355" s="61" t="s">
        <v>944</v>
      </c>
      <c r="F355" s="61" t="s">
        <v>13</v>
      </c>
      <c r="G355" s="61">
        <v>150</v>
      </c>
      <c r="H355" s="63">
        <v>100.4</v>
      </c>
      <c r="I355" s="63">
        <v>72.180000000000007</v>
      </c>
    </row>
    <row r="356" spans="1:9">
      <c r="A356" s="21" t="s">
        <v>375</v>
      </c>
      <c r="B356" s="61" t="s">
        <v>22</v>
      </c>
      <c r="C356" s="61">
        <v>39512</v>
      </c>
      <c r="D356" s="61" t="s">
        <v>939</v>
      </c>
      <c r="E356" s="61" t="s">
        <v>10</v>
      </c>
      <c r="F356" s="61" t="s">
        <v>9</v>
      </c>
      <c r="G356" s="61">
        <v>150</v>
      </c>
      <c r="H356" s="63">
        <v>172.63</v>
      </c>
      <c r="I356" s="63">
        <v>60.96</v>
      </c>
    </row>
    <row r="357" spans="1:9">
      <c r="A357" s="29" t="s">
        <v>376</v>
      </c>
      <c r="B357" s="61" t="s">
        <v>8</v>
      </c>
      <c r="C357" s="61">
        <v>34522</v>
      </c>
      <c r="D357" s="61" t="s">
        <v>939</v>
      </c>
      <c r="E357" s="61" t="s">
        <v>10</v>
      </c>
      <c r="F357" s="61" t="s">
        <v>9</v>
      </c>
      <c r="G357" s="61">
        <v>150</v>
      </c>
      <c r="H357" s="63">
        <v>220.81</v>
      </c>
      <c r="I357" s="63">
        <v>30.58</v>
      </c>
    </row>
    <row r="358" spans="1:9">
      <c r="A358" s="10" t="s">
        <v>334</v>
      </c>
      <c r="B358" s="61" t="s">
        <v>8</v>
      </c>
      <c r="C358" s="61">
        <v>35423</v>
      </c>
      <c r="D358" s="61" t="s">
        <v>939</v>
      </c>
      <c r="E358" s="61" t="s">
        <v>10</v>
      </c>
      <c r="F358" s="61" t="s">
        <v>9</v>
      </c>
      <c r="G358" s="61">
        <v>150</v>
      </c>
      <c r="H358" s="63">
        <v>127.44</v>
      </c>
      <c r="I358" s="63">
        <v>8.82</v>
      </c>
    </row>
    <row r="359" spans="1:9">
      <c r="A359" s="10" t="s">
        <v>53</v>
      </c>
      <c r="B359" s="61" t="s">
        <v>8</v>
      </c>
      <c r="C359" s="61">
        <v>35530</v>
      </c>
      <c r="D359" s="61" t="s">
        <v>939</v>
      </c>
      <c r="E359" s="61" t="s">
        <v>10</v>
      </c>
      <c r="F359" s="61" t="s">
        <v>9</v>
      </c>
      <c r="G359" s="61">
        <v>150</v>
      </c>
      <c r="H359" s="63">
        <v>124.41</v>
      </c>
      <c r="I359" s="63">
        <v>8.82</v>
      </c>
    </row>
    <row r="360" spans="1:9">
      <c r="A360" s="21" t="s">
        <v>379</v>
      </c>
      <c r="B360" s="61" t="s">
        <v>8</v>
      </c>
      <c r="C360" s="61">
        <v>36241</v>
      </c>
      <c r="D360" s="61" t="s">
        <v>939</v>
      </c>
      <c r="E360" s="61" t="s">
        <v>10</v>
      </c>
      <c r="F360" s="61" t="s">
        <v>9</v>
      </c>
      <c r="G360" s="61">
        <v>150</v>
      </c>
      <c r="H360" s="63">
        <v>124.41</v>
      </c>
      <c r="I360" s="63">
        <v>8.82</v>
      </c>
    </row>
    <row r="361" spans="1:9">
      <c r="A361" s="21" t="s">
        <v>380</v>
      </c>
      <c r="B361" s="61" t="s">
        <v>8</v>
      </c>
      <c r="C361" s="61">
        <v>37021</v>
      </c>
      <c r="D361" s="61" t="s">
        <v>939</v>
      </c>
      <c r="E361" s="61" t="s">
        <v>10</v>
      </c>
      <c r="F361" s="61" t="s">
        <v>9</v>
      </c>
      <c r="G361" s="61">
        <v>150</v>
      </c>
      <c r="H361" s="63">
        <v>124.41</v>
      </c>
      <c r="I361" s="63">
        <v>8.82</v>
      </c>
    </row>
    <row r="362" spans="1:9">
      <c r="A362" s="21" t="s">
        <v>381</v>
      </c>
      <c r="B362" s="61" t="s">
        <v>8</v>
      </c>
      <c r="C362" s="61">
        <v>38145</v>
      </c>
      <c r="D362" s="61" t="s">
        <v>939</v>
      </c>
      <c r="E362" s="61" t="s">
        <v>10</v>
      </c>
      <c r="F362" s="61" t="s">
        <v>9</v>
      </c>
      <c r="G362" s="61">
        <v>150</v>
      </c>
      <c r="H362" s="63">
        <v>124.41</v>
      </c>
      <c r="I362" s="63">
        <v>8.82</v>
      </c>
    </row>
    <row r="363" spans="1:9">
      <c r="A363" s="21" t="s">
        <v>382</v>
      </c>
      <c r="B363" s="61" t="s">
        <v>8</v>
      </c>
      <c r="C363" s="61">
        <v>35586</v>
      </c>
      <c r="D363" s="61" t="s">
        <v>939</v>
      </c>
      <c r="E363" s="61" t="s">
        <v>10</v>
      </c>
      <c r="F363" s="61" t="s">
        <v>9</v>
      </c>
      <c r="G363" s="61">
        <v>150</v>
      </c>
      <c r="H363" s="63">
        <v>158.01</v>
      </c>
      <c r="I363" s="63">
        <v>3.12</v>
      </c>
    </row>
    <row r="364" spans="1:9">
      <c r="A364" s="21" t="s">
        <v>383</v>
      </c>
      <c r="B364" s="61" t="s">
        <v>8</v>
      </c>
      <c r="C364" s="61">
        <v>36257</v>
      </c>
      <c r="D364" s="61" t="s">
        <v>939</v>
      </c>
      <c r="E364" s="61" t="s">
        <v>940</v>
      </c>
      <c r="F364" s="61" t="s">
        <v>9</v>
      </c>
      <c r="G364" s="61">
        <v>150</v>
      </c>
      <c r="H364" s="63">
        <v>158.01</v>
      </c>
      <c r="I364" s="63">
        <v>3.12</v>
      </c>
    </row>
    <row r="365" spans="1:9">
      <c r="A365" s="21" t="s">
        <v>384</v>
      </c>
      <c r="B365" s="61" t="s">
        <v>8</v>
      </c>
      <c r="C365" s="61">
        <v>36290</v>
      </c>
      <c r="D365" s="61" t="s">
        <v>939</v>
      </c>
      <c r="E365" s="61" t="s">
        <v>10</v>
      </c>
      <c r="F365" s="61" t="s">
        <v>9</v>
      </c>
      <c r="G365" s="61">
        <v>150</v>
      </c>
      <c r="H365" s="63">
        <v>158.01</v>
      </c>
      <c r="I365" s="63">
        <v>3.12</v>
      </c>
    </row>
    <row r="366" spans="1:9">
      <c r="A366" s="21" t="s">
        <v>385</v>
      </c>
      <c r="B366" s="61" t="s">
        <v>8</v>
      </c>
      <c r="C366" s="61">
        <v>36690</v>
      </c>
      <c r="D366" s="61" t="s">
        <v>939</v>
      </c>
      <c r="E366" s="61" t="s">
        <v>940</v>
      </c>
      <c r="F366" s="61" t="s">
        <v>9</v>
      </c>
      <c r="G366" s="61">
        <v>150</v>
      </c>
      <c r="H366" s="63">
        <v>158.01</v>
      </c>
      <c r="I366" s="63">
        <v>3.12</v>
      </c>
    </row>
    <row r="367" spans="1:9">
      <c r="A367" s="10" t="s">
        <v>386</v>
      </c>
      <c r="B367" s="61" t="s">
        <v>941</v>
      </c>
      <c r="C367" s="61">
        <v>37398</v>
      </c>
      <c r="D367" s="61" t="s">
        <v>939</v>
      </c>
      <c r="E367" s="61" t="s">
        <v>940</v>
      </c>
      <c r="F367" s="61" t="s">
        <v>9</v>
      </c>
      <c r="G367" s="61">
        <v>70</v>
      </c>
      <c r="H367" s="63">
        <v>228.46</v>
      </c>
      <c r="I367" s="63">
        <v>66.77</v>
      </c>
    </row>
    <row r="368" spans="1:9">
      <c r="A368" s="21" t="s">
        <v>387</v>
      </c>
      <c r="B368" s="61" t="s">
        <v>8</v>
      </c>
      <c r="C368" s="61">
        <v>36682</v>
      </c>
      <c r="D368" s="61" t="s">
        <v>939</v>
      </c>
      <c r="E368" s="61" t="s">
        <v>10</v>
      </c>
      <c r="F368" s="61" t="s">
        <v>9</v>
      </c>
      <c r="G368" s="61">
        <v>150</v>
      </c>
      <c r="H368" s="63">
        <v>188.43</v>
      </c>
      <c r="I368" s="63">
        <v>3.14</v>
      </c>
    </row>
    <row r="369" spans="1:9">
      <c r="A369" s="21" t="s">
        <v>109</v>
      </c>
      <c r="B369" s="61" t="s">
        <v>8</v>
      </c>
      <c r="C369" s="61">
        <v>36733</v>
      </c>
      <c r="D369" s="61" t="s">
        <v>939</v>
      </c>
      <c r="E369" s="61" t="s">
        <v>940</v>
      </c>
      <c r="F369" s="61" t="s">
        <v>9</v>
      </c>
      <c r="G369" s="61">
        <v>150</v>
      </c>
      <c r="H369" s="63">
        <v>155.88</v>
      </c>
      <c r="I369" s="63">
        <v>3.14</v>
      </c>
    </row>
    <row r="370" spans="1:9">
      <c r="A370" s="21" t="s">
        <v>389</v>
      </c>
      <c r="B370" s="61" t="s">
        <v>8</v>
      </c>
      <c r="C370" s="61">
        <v>36854</v>
      </c>
      <c r="D370" s="61" t="s">
        <v>939</v>
      </c>
      <c r="E370" s="61" t="s">
        <v>940</v>
      </c>
      <c r="F370" s="61" t="s">
        <v>9</v>
      </c>
      <c r="G370" s="61">
        <v>150</v>
      </c>
      <c r="H370" s="63">
        <v>155.88</v>
      </c>
      <c r="I370" s="63">
        <v>3.14</v>
      </c>
    </row>
    <row r="371" spans="1:9">
      <c r="A371" s="21" t="s">
        <v>390</v>
      </c>
      <c r="B371" s="61" t="s">
        <v>8</v>
      </c>
      <c r="C371" s="61">
        <v>37669</v>
      </c>
      <c r="D371" s="61" t="s">
        <v>939</v>
      </c>
      <c r="E371" s="61" t="s">
        <v>10</v>
      </c>
      <c r="F371" s="61" t="s">
        <v>9</v>
      </c>
      <c r="G371" s="61">
        <v>150</v>
      </c>
      <c r="H371" s="63">
        <v>155.88</v>
      </c>
      <c r="I371" s="63">
        <v>3.14</v>
      </c>
    </row>
    <row r="372" spans="1:9">
      <c r="A372" s="21" t="s">
        <v>391</v>
      </c>
      <c r="B372" s="61" t="s">
        <v>8</v>
      </c>
      <c r="C372" s="61">
        <v>39104</v>
      </c>
      <c r="D372" s="61" t="s">
        <v>939</v>
      </c>
      <c r="E372" s="61" t="s">
        <v>19</v>
      </c>
      <c r="F372" s="61" t="s">
        <v>14</v>
      </c>
      <c r="G372" s="61">
        <v>150</v>
      </c>
      <c r="H372" s="63">
        <v>155.88</v>
      </c>
      <c r="I372" s="63">
        <v>3.14</v>
      </c>
    </row>
    <row r="373" spans="1:9">
      <c r="A373" s="10" t="s">
        <v>308</v>
      </c>
      <c r="B373" s="61" t="s">
        <v>8</v>
      </c>
      <c r="C373" s="61">
        <v>37383</v>
      </c>
      <c r="D373" s="61" t="s">
        <v>939</v>
      </c>
      <c r="E373" s="61" t="s">
        <v>940</v>
      </c>
      <c r="F373" s="61" t="s">
        <v>9</v>
      </c>
      <c r="G373" s="61">
        <v>150</v>
      </c>
      <c r="H373" s="63">
        <v>154.76</v>
      </c>
      <c r="I373" s="63">
        <v>24.7</v>
      </c>
    </row>
    <row r="374" spans="1:9">
      <c r="A374" s="10" t="s">
        <v>393</v>
      </c>
      <c r="B374" s="61" t="s">
        <v>22</v>
      </c>
      <c r="C374" s="61">
        <v>37326</v>
      </c>
      <c r="D374" s="61" t="s">
        <v>939</v>
      </c>
      <c r="E374" s="61" t="s">
        <v>940</v>
      </c>
      <c r="F374" s="61" t="s">
        <v>9</v>
      </c>
      <c r="G374" s="61">
        <v>150</v>
      </c>
      <c r="H374" s="63">
        <v>154.76</v>
      </c>
      <c r="I374" s="63">
        <v>39.69</v>
      </c>
    </row>
    <row r="375" spans="1:9">
      <c r="A375" s="10" t="s">
        <v>394</v>
      </c>
      <c r="B375" s="61" t="s">
        <v>22</v>
      </c>
      <c r="C375" s="61">
        <v>37567</v>
      </c>
      <c r="D375" s="61" t="s">
        <v>939</v>
      </c>
      <c r="E375" s="61" t="s">
        <v>940</v>
      </c>
      <c r="F375" s="61" t="s">
        <v>9</v>
      </c>
      <c r="G375" s="61">
        <v>150</v>
      </c>
      <c r="H375" s="63">
        <v>158.77000000000001</v>
      </c>
      <c r="I375" s="63">
        <v>43.03</v>
      </c>
    </row>
    <row r="376" spans="1:9">
      <c r="A376" s="10" t="s">
        <v>395</v>
      </c>
      <c r="B376" s="61" t="s">
        <v>22</v>
      </c>
      <c r="C376" s="61">
        <v>38497</v>
      </c>
      <c r="D376" s="61" t="s">
        <v>939</v>
      </c>
      <c r="E376" s="61" t="s">
        <v>940</v>
      </c>
      <c r="F376" s="61" t="s">
        <v>9</v>
      </c>
      <c r="G376" s="61">
        <v>150</v>
      </c>
      <c r="H376" s="63">
        <v>158.77000000000001</v>
      </c>
      <c r="I376" s="63">
        <v>43.03</v>
      </c>
    </row>
    <row r="377" spans="1:9">
      <c r="A377" s="10" t="s">
        <v>396</v>
      </c>
      <c r="B377" s="61" t="s">
        <v>22</v>
      </c>
      <c r="C377" s="61">
        <v>38356</v>
      </c>
      <c r="D377" s="61" t="s">
        <v>939</v>
      </c>
      <c r="E377" s="61" t="s">
        <v>940</v>
      </c>
      <c r="F377" s="61" t="s">
        <v>9</v>
      </c>
      <c r="G377" s="61">
        <v>150</v>
      </c>
      <c r="H377" s="63">
        <v>158.77000000000001</v>
      </c>
      <c r="I377" s="63">
        <v>66.680000000000007</v>
      </c>
    </row>
    <row r="378" spans="1:9">
      <c r="A378" s="10" t="s">
        <v>103</v>
      </c>
      <c r="B378" s="61" t="s">
        <v>22</v>
      </c>
      <c r="C378" s="61">
        <v>38818</v>
      </c>
      <c r="D378" s="61" t="s">
        <v>939</v>
      </c>
      <c r="E378" s="61" t="s">
        <v>940</v>
      </c>
      <c r="F378" s="61" t="s">
        <v>9</v>
      </c>
      <c r="G378" s="61">
        <v>150</v>
      </c>
      <c r="H378" s="63">
        <v>158.77000000000001</v>
      </c>
      <c r="I378" s="63">
        <v>43.03</v>
      </c>
    </row>
    <row r="379" spans="1:9">
      <c r="A379" s="10" t="s">
        <v>398</v>
      </c>
      <c r="B379" s="61" t="s">
        <v>22</v>
      </c>
      <c r="C379" s="61">
        <v>38818</v>
      </c>
      <c r="D379" s="61" t="s">
        <v>939</v>
      </c>
      <c r="E379" s="61" t="s">
        <v>940</v>
      </c>
      <c r="F379" s="61" t="s">
        <v>9</v>
      </c>
      <c r="G379" s="61">
        <v>150</v>
      </c>
      <c r="H379" s="63">
        <v>158.77000000000001</v>
      </c>
      <c r="I379" s="63">
        <v>43.03</v>
      </c>
    </row>
    <row r="380" spans="1:9">
      <c r="A380" s="21" t="s">
        <v>271</v>
      </c>
      <c r="B380" s="61" t="s">
        <v>22</v>
      </c>
      <c r="C380" s="61">
        <v>39087</v>
      </c>
      <c r="D380" s="61" t="s">
        <v>939</v>
      </c>
      <c r="E380" s="61" t="s">
        <v>19</v>
      </c>
      <c r="F380" s="61" t="s">
        <v>14</v>
      </c>
      <c r="G380" s="61">
        <v>150</v>
      </c>
      <c r="H380" s="63">
        <v>158.77000000000001</v>
      </c>
      <c r="I380" s="63">
        <v>43.03</v>
      </c>
    </row>
    <row r="381" spans="1:9">
      <c r="A381" s="10" t="s">
        <v>400</v>
      </c>
      <c r="B381" s="61" t="s">
        <v>22</v>
      </c>
      <c r="C381" s="61">
        <v>39087</v>
      </c>
      <c r="D381" s="61" t="s">
        <v>939</v>
      </c>
      <c r="E381" s="61" t="s">
        <v>19</v>
      </c>
      <c r="F381" s="61" t="s">
        <v>14</v>
      </c>
      <c r="G381" s="61">
        <v>150</v>
      </c>
      <c r="H381" s="63">
        <v>158.77000000000001</v>
      </c>
      <c r="I381" s="63">
        <v>43.03</v>
      </c>
    </row>
    <row r="382" spans="1:9">
      <c r="A382" s="10" t="s">
        <v>377</v>
      </c>
      <c r="B382" s="61" t="s">
        <v>22</v>
      </c>
      <c r="C382" s="61">
        <v>39371</v>
      </c>
      <c r="D382" s="61" t="s">
        <v>939</v>
      </c>
      <c r="E382" s="61" t="s">
        <v>23</v>
      </c>
      <c r="F382" s="61" t="s">
        <v>13</v>
      </c>
      <c r="G382" s="61">
        <v>150</v>
      </c>
      <c r="H382" s="63">
        <v>158.77000000000001</v>
      </c>
      <c r="I382" s="63">
        <v>43.03</v>
      </c>
    </row>
    <row r="383" spans="1:9">
      <c r="A383" s="10" t="s">
        <v>261</v>
      </c>
      <c r="B383" s="61" t="s">
        <v>22</v>
      </c>
      <c r="C383" s="61">
        <v>39472</v>
      </c>
      <c r="D383" s="61" t="s">
        <v>939</v>
      </c>
      <c r="E383" s="61" t="s">
        <v>940</v>
      </c>
      <c r="F383" s="61" t="s">
        <v>9</v>
      </c>
      <c r="G383" s="61">
        <v>150</v>
      </c>
      <c r="H383" s="63">
        <v>158.77000000000001</v>
      </c>
      <c r="I383" s="63">
        <v>43.03</v>
      </c>
    </row>
  </sheetData>
  <pageMargins left="0.78740157499999996" right="0.78740157499999996" top="0.984251969" bottom="0.984251969" header="0.4921259845" footer="0.4921259845"/>
  <pageSetup paperSize="9" orientation="portrait" r:id="rId1"/>
  <headerFooter alignWithMargins="0"/>
  <legacyDrawing r:id="rId2"/>
</worksheet>
</file>

<file path=xl/worksheets/sheet4.xml><?xml version="1.0" encoding="utf-8"?>
<worksheet xmlns="http://schemas.openxmlformats.org/spreadsheetml/2006/main" xmlns:r="http://schemas.openxmlformats.org/officeDocument/2006/relationships">
  <sheetPr codeName="Sheet1"/>
  <dimension ref="A1:C5"/>
  <sheetViews>
    <sheetView workbookViewId="0">
      <selection activeCell="B6" sqref="B6"/>
    </sheetView>
  </sheetViews>
  <sheetFormatPr defaultRowHeight="15"/>
  <cols>
    <col min="2" max="3" width="9.85546875" style="65" bestFit="1" customWidth="1"/>
  </cols>
  <sheetData>
    <row r="1" spans="1:3">
      <c r="A1" t="s">
        <v>974</v>
      </c>
      <c r="B1" s="65" t="s">
        <v>972</v>
      </c>
      <c r="C1" s="65" t="s">
        <v>971</v>
      </c>
    </row>
    <row r="2" spans="1:3">
      <c r="A2">
        <v>10115</v>
      </c>
      <c r="B2" s="65">
        <v>42005</v>
      </c>
      <c r="C2" s="65">
        <v>42032</v>
      </c>
    </row>
    <row r="3" spans="1:3">
      <c r="A3">
        <v>10215</v>
      </c>
      <c r="B3" s="65">
        <v>42032</v>
      </c>
      <c r="C3" s="65">
        <v>42061</v>
      </c>
    </row>
    <row r="4" spans="1:3">
      <c r="A4">
        <v>10315</v>
      </c>
      <c r="B4" s="65">
        <v>42061</v>
      </c>
      <c r="C4" s="65">
        <v>42093</v>
      </c>
    </row>
    <row r="5" spans="1:3">
      <c r="A5">
        <v>10415</v>
      </c>
      <c r="B5" s="65">
        <v>42093</v>
      </c>
      <c r="C5" s="65">
        <v>42124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</vt:i4>
      </vt:variant>
      <vt:variant>
        <vt:lpstr>Named Ranges</vt:lpstr>
      </vt:variant>
      <vt:variant>
        <vt:i4>2</vt:i4>
      </vt:variant>
    </vt:vector>
  </HeadingPairs>
  <TitlesOfParts>
    <vt:vector size="6" baseType="lpstr">
      <vt:lpstr>result</vt:lpstr>
      <vt:lpstr>Aurocyanure</vt:lpstr>
      <vt:lpstr>ARAS</vt:lpstr>
      <vt:lpstr>datte</vt:lpstr>
      <vt:lpstr>Aurocyanure!Base_2009</vt:lpstr>
      <vt:lpstr>Aurocyanure!Print_Area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George, Gino</dc:creator>
  <cp:lastModifiedBy>Gino George</cp:lastModifiedBy>
  <dcterms:created xsi:type="dcterms:W3CDTF">2006-09-16T00:00:00Z</dcterms:created>
  <dcterms:modified xsi:type="dcterms:W3CDTF">2015-09-24T10:36:13Z</dcterms:modified>
</cp:coreProperties>
</file>